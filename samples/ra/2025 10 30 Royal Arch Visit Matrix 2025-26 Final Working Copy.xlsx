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kpturner/github/square_ov/samples/ra/"/>
    </mc:Choice>
  </mc:AlternateContent>
  <xr:revisionPtr revIDLastSave="0" documentId="13_ncr:1_{58529FC1-8819-3740-865C-67DFEE703C90}" xr6:coauthVersionLast="47" xr6:coauthVersionMax="47" xr10:uidLastSave="{00000000-0000-0000-0000-000000000000}"/>
  <bookViews>
    <workbookView xWindow="56140" yWindow="10160" windowWidth="29040" windowHeight="15720" tabRatio="500" xr2:uid="{00000000-000D-0000-FFFF-FFFF00000000}"/>
  </bookViews>
  <sheets>
    <sheet name="Matrix 2025-26" sheetId="1" r:id="rId1"/>
    <sheet name="Visit DC, ADC, SwdB, Std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5" i="1" l="1"/>
  <c r="G64" i="1"/>
  <c r="G63" i="1"/>
  <c r="G62" i="1"/>
  <c r="G61" i="1"/>
  <c r="G60" i="1"/>
  <c r="AY59" i="1"/>
  <c r="AX59" i="1"/>
  <c r="G59" i="1"/>
  <c r="AY58" i="1"/>
  <c r="AX58" i="1"/>
  <c r="G58" i="1"/>
  <c r="AY57" i="1"/>
  <c r="AX57" i="1"/>
  <c r="G57" i="1"/>
  <c r="AY56" i="1"/>
  <c r="AX56" i="1"/>
  <c r="G56" i="1"/>
  <c r="AY55" i="1"/>
  <c r="AX55" i="1"/>
  <c r="G55" i="1"/>
  <c r="AY54" i="1"/>
  <c r="AX54" i="1"/>
  <c r="G54" i="1"/>
  <c r="AY52" i="1"/>
  <c r="AX52" i="1"/>
  <c r="G52" i="1"/>
  <c r="AY51" i="1"/>
  <c r="AX51" i="1"/>
  <c r="G51" i="1"/>
  <c r="AY50" i="1"/>
  <c r="AX50" i="1"/>
  <c r="G50" i="1"/>
  <c r="AY49" i="1"/>
  <c r="AX49" i="1"/>
  <c r="G49" i="1"/>
  <c r="AY48" i="1"/>
  <c r="AX48" i="1"/>
  <c r="G48" i="1"/>
  <c r="AY47" i="1"/>
  <c r="AX47" i="1"/>
  <c r="G47" i="1"/>
  <c r="AY46" i="1"/>
  <c r="AX46" i="1"/>
  <c r="G46" i="1"/>
  <c r="AY45" i="1"/>
  <c r="AX45" i="1"/>
  <c r="G45" i="1"/>
  <c r="AY44" i="1"/>
  <c r="AX44" i="1"/>
  <c r="G44" i="1"/>
  <c r="AY43" i="1"/>
  <c r="AX43" i="1"/>
  <c r="G43" i="1"/>
  <c r="AY42" i="1"/>
  <c r="AX42" i="1"/>
  <c r="G42" i="1"/>
  <c r="AY41" i="1"/>
  <c r="AX41" i="1"/>
  <c r="G41" i="1"/>
  <c r="AY40" i="1"/>
  <c r="AX40" i="1"/>
  <c r="G40" i="1"/>
  <c r="AY39" i="1"/>
  <c r="AX39" i="1"/>
  <c r="G39" i="1"/>
  <c r="AY38" i="1"/>
  <c r="AX38" i="1"/>
  <c r="G38" i="1"/>
  <c r="AY37" i="1"/>
  <c r="AX37" i="1"/>
  <c r="G37" i="1"/>
  <c r="AY36" i="1"/>
  <c r="AX36" i="1"/>
  <c r="G36" i="1"/>
  <c r="AY35" i="1"/>
  <c r="AX35" i="1"/>
  <c r="G35" i="1"/>
  <c r="AY34" i="1"/>
  <c r="AX34" i="1"/>
  <c r="G34" i="1"/>
  <c r="AY33" i="1"/>
  <c r="AX33" i="1"/>
  <c r="G33" i="1"/>
  <c r="AY32" i="1"/>
  <c r="AX32" i="1"/>
  <c r="G32" i="1"/>
  <c r="AY31" i="1"/>
  <c r="AX31" i="1"/>
  <c r="G31" i="1"/>
  <c r="AY30" i="1"/>
  <c r="AX30" i="1"/>
  <c r="G30" i="1"/>
  <c r="AY29" i="1"/>
  <c r="AX29" i="1"/>
  <c r="G29" i="1"/>
  <c r="AY28" i="1"/>
  <c r="AX28" i="1"/>
  <c r="G28" i="1"/>
  <c r="AY27" i="1"/>
  <c r="AX27" i="1"/>
  <c r="G27" i="1"/>
  <c r="AY26" i="1"/>
  <c r="AX26" i="1"/>
  <c r="G26" i="1"/>
  <c r="AY25" i="1"/>
  <c r="AX25" i="1"/>
  <c r="G25" i="1"/>
  <c r="AY24" i="1"/>
  <c r="AX24" i="1"/>
  <c r="G24" i="1"/>
  <c r="AY23" i="1"/>
  <c r="AX23" i="1"/>
  <c r="G23" i="1"/>
  <c r="AY22" i="1"/>
  <c r="AX22" i="1"/>
  <c r="G22" i="1"/>
  <c r="AY21" i="1"/>
  <c r="AX21" i="1"/>
  <c r="G21" i="1"/>
  <c r="AY20" i="1"/>
  <c r="AX20" i="1"/>
  <c r="G20" i="1"/>
  <c r="AY19" i="1"/>
  <c r="AX19" i="1"/>
  <c r="G19" i="1"/>
  <c r="AY18" i="1"/>
  <c r="AX18" i="1"/>
  <c r="G18" i="1"/>
  <c r="AY17" i="1"/>
  <c r="AX17" i="1"/>
  <c r="G17" i="1"/>
  <c r="AY16" i="1"/>
  <c r="AX16" i="1"/>
  <c r="G16" i="1"/>
  <c r="AY15" i="1"/>
  <c r="AX15" i="1"/>
  <c r="G15" i="1"/>
  <c r="AY14" i="1"/>
  <c r="AX14" i="1"/>
  <c r="G14" i="1"/>
  <c r="AY13" i="1"/>
  <c r="AX13" i="1"/>
  <c r="G13" i="1"/>
  <c r="AY12" i="1"/>
  <c r="AX12" i="1"/>
  <c r="G12" i="1"/>
  <c r="AY11" i="1"/>
  <c r="AX11" i="1"/>
  <c r="G11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Q7" i="1"/>
  <c r="P7" i="1"/>
  <c r="O7" i="1"/>
  <c r="N7" i="1"/>
  <c r="M7" i="1"/>
  <c r="L7" i="1"/>
  <c r="K7" i="1"/>
  <c r="J7" i="1"/>
  <c r="I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Y4" authorId="0" shapeId="0" xr:uid="{00000000-0006-0000-0000-000005000000}">
      <text>
        <r>
          <rPr>
            <sz val="10"/>
            <rFont val="Arial"/>
            <family val="2"/>
          </rPr>
          <t>Revised on 29052025</t>
        </r>
      </text>
    </comment>
    <comment ref="J6" authorId="0" shapeId="0" xr:uid="{00000000-0006-0000-0000-000001000000}">
      <text>
        <r>
          <rPr>
            <sz val="10"/>
            <color rgb="FF000000"/>
            <rFont val="Arial"/>
            <family val="2"/>
          </rPr>
          <t>Moved from 11/03/2026</t>
        </r>
      </text>
    </comment>
    <comment ref="P6" authorId="0" shapeId="0" xr:uid="{00000000-0006-0000-0000-000002000000}">
      <text>
        <r>
          <rPr>
            <sz val="10"/>
            <color rgb="FF000000"/>
            <rFont val="Arial"/>
            <family val="2"/>
          </rPr>
          <t>Chosen date</t>
        </r>
      </text>
    </comment>
    <comment ref="T6" authorId="0" shapeId="0" xr:uid="{00000000-0006-0000-0000-000003000000}">
      <text>
        <r>
          <rPr>
            <sz val="10"/>
            <color rgb="FF000000"/>
            <rFont val="Arial"/>
            <family val="2"/>
          </rPr>
          <t>Moved from 08/03/2026</t>
        </r>
      </text>
    </comment>
    <comment ref="U6" authorId="0" shapeId="0" xr:uid="{00000000-0006-0000-0000-000004000000}">
      <text>
        <r>
          <rPr>
            <sz val="10"/>
            <color rgb="FF000000"/>
            <rFont val="Arial"/>
            <family val="2"/>
          </rPr>
          <t>Moved from 10022026</t>
        </r>
      </text>
    </comment>
    <comment ref="Z6" authorId="0" shapeId="0" xr:uid="{00000000-0006-0000-0000-000006000000}">
      <text>
        <r>
          <rPr>
            <sz val="10"/>
            <color rgb="FF000000"/>
            <rFont val="Arial"/>
            <family val="2"/>
          </rPr>
          <t>Moved from 26012026</t>
        </r>
      </text>
    </comment>
    <comment ref="AV6" authorId="0" shapeId="0" xr:uid="{00000000-0006-0000-0000-000008000000}">
      <text>
        <r>
          <rPr>
            <sz val="10"/>
            <color rgb="FF000000"/>
            <rFont val="Arial"/>
            <family val="2"/>
          </rPr>
          <t>Moved from 25092025</t>
        </r>
      </text>
    </comment>
    <comment ref="AC66" authorId="0" shapeId="0" xr:uid="{00000000-0006-0000-0000-000007000000}">
      <text>
        <r>
          <rPr>
            <sz val="10"/>
            <color rgb="FF000000"/>
            <rFont val="Arial"/>
            <family val="2"/>
          </rPr>
          <t>Replacement for A Fretter</t>
        </r>
      </text>
    </comment>
  </commentList>
</comments>
</file>

<file path=xl/sharedStrings.xml><?xml version="1.0" encoding="utf-8"?>
<sst xmlns="http://schemas.openxmlformats.org/spreadsheetml/2006/main" count="1148" uniqueCount="337">
  <si>
    <t xml:space="preserve"> </t>
  </si>
  <si>
    <t>Name</t>
  </si>
  <si>
    <t>St Vincent</t>
  </si>
  <si>
    <t>Chine C</t>
  </si>
  <si>
    <t>Oakley C</t>
  </si>
  <si>
    <t>Drayton C</t>
  </si>
  <si>
    <t>C of Harmony</t>
  </si>
  <si>
    <t>St. Hubert</t>
  </si>
  <si>
    <t>Portsmouth C</t>
  </si>
  <si>
    <t>Royal Sussex C</t>
  </si>
  <si>
    <t>Faith and Confidence C</t>
  </si>
  <si>
    <t>Portsdown C</t>
  </si>
  <si>
    <t>Norman Gate C</t>
  </si>
  <si>
    <t>William Kingston</t>
  </si>
  <si>
    <t>Kings Court C</t>
  </si>
  <si>
    <t>Brockenhurst C</t>
  </si>
  <si>
    <t>Farnborough C</t>
  </si>
  <si>
    <t>United Service</t>
  </si>
  <si>
    <t>Unity C</t>
  </si>
  <si>
    <t>Charles Dickens C</t>
  </si>
  <si>
    <t>Connaught C</t>
  </si>
  <si>
    <t>St. George's C</t>
  </si>
  <si>
    <t>Gosport C</t>
  </si>
  <si>
    <t>Royal Gloucester C</t>
  </si>
  <si>
    <t>Wolvesey C</t>
  </si>
  <si>
    <t>Hayling Island C</t>
  </si>
  <si>
    <t>East Medina C</t>
  </si>
  <si>
    <t>Vyne C</t>
  </si>
  <si>
    <t>Asher Barfield</t>
  </si>
  <si>
    <t>Test Valley</t>
  </si>
  <si>
    <t>Domus Dei C</t>
  </si>
  <si>
    <t>Barton Court</t>
  </si>
  <si>
    <t>Boscombe</t>
  </si>
  <si>
    <t>The Knole C</t>
  </si>
  <si>
    <t>Osborne C</t>
  </si>
  <si>
    <t>Needles C</t>
  </si>
  <si>
    <t>Hengist C</t>
  </si>
  <si>
    <t>Ancasta C</t>
  </si>
  <si>
    <t>Hope C</t>
  </si>
  <si>
    <t>Neptune C</t>
  </si>
  <si>
    <t>Daintree C</t>
  </si>
  <si>
    <t>Number</t>
  </si>
  <si>
    <t>Location</t>
  </si>
  <si>
    <t>Fareham</t>
  </si>
  <si>
    <t>Shanklin IoW</t>
  </si>
  <si>
    <t>Basingstoke</t>
  </si>
  <si>
    <t>Cosham</t>
  </si>
  <si>
    <t>Andover</t>
  </si>
  <si>
    <t>Purbrook</t>
  </si>
  <si>
    <t>Winchester</t>
  </si>
  <si>
    <t>Petersfield</t>
  </si>
  <si>
    <t>Chandlers Ford</t>
  </si>
  <si>
    <t>Brockenhurst</t>
  </si>
  <si>
    <t>Farnborough</t>
  </si>
  <si>
    <t>RINGWOOD</t>
  </si>
  <si>
    <t>Phoenix Rooms</t>
  </si>
  <si>
    <t>Havant</t>
  </si>
  <si>
    <t>Gosport</t>
  </si>
  <si>
    <t>Southampton</t>
  </si>
  <si>
    <t>Ryde IoW</t>
  </si>
  <si>
    <t>Cowes IoW</t>
  </si>
  <si>
    <t>Totton</t>
  </si>
  <si>
    <t>Portsmouth</t>
  </si>
  <si>
    <t>New Milton</t>
  </si>
  <si>
    <t>Bournemouth</t>
  </si>
  <si>
    <t>East Cowes IoW</t>
  </si>
  <si>
    <t>Sandown</t>
  </si>
  <si>
    <t>Woolston</t>
  </si>
  <si>
    <t>Horndean</t>
  </si>
  <si>
    <t xml:space="preserve">Visit </t>
  </si>
  <si>
    <t>2025-2026</t>
  </si>
  <si>
    <t>DGSUPT</t>
  </si>
  <si>
    <t>3PGP</t>
  </si>
  <si>
    <t>2PGP</t>
  </si>
  <si>
    <r>
      <rPr>
        <sz val="11"/>
        <color rgb="FF000000"/>
        <rFont val="Arial"/>
        <family val="2"/>
        <charset val="1"/>
      </rPr>
      <t xml:space="preserve">Scribe N </t>
    </r>
    <r>
      <rPr>
        <sz val="11"/>
        <color rgb="FFFF0000"/>
        <rFont val="Arial"/>
        <family val="2"/>
        <charset val="1"/>
      </rPr>
      <t>DAYTIME CHAPTER 10:30</t>
    </r>
  </si>
  <si>
    <t>MEGS</t>
  </si>
  <si>
    <t>MEGS Bi-Centenary 2025</t>
  </si>
  <si>
    <t>Scribe N</t>
  </si>
  <si>
    <t>MEGS Centenary 2025</t>
  </si>
  <si>
    <r>
      <rPr>
        <sz val="11"/>
        <color rgb="FF000000"/>
        <rFont val="Arial"/>
        <family val="2"/>
        <charset val="1"/>
      </rPr>
      <t xml:space="preserve">MEGS </t>
    </r>
    <r>
      <rPr>
        <sz val="11"/>
        <color rgb="FFFF0000"/>
        <rFont val="Arial"/>
        <family val="2"/>
        <charset val="1"/>
      </rPr>
      <t>DAYTIME CHAPTER</t>
    </r>
  </si>
  <si>
    <t>VIP</t>
  </si>
  <si>
    <t>Date of Visit</t>
  </si>
  <si>
    <t>DC</t>
  </si>
  <si>
    <t xml:space="preserve">Total Number of team per visit </t>
  </si>
  <si>
    <t>StdB</t>
  </si>
  <si>
    <t>Area</t>
  </si>
  <si>
    <t>SOL</t>
  </si>
  <si>
    <t>NCA</t>
  </si>
  <si>
    <t>SEA</t>
  </si>
  <si>
    <t>NEA</t>
  </si>
  <si>
    <t>SWA</t>
  </si>
  <si>
    <t>SCA</t>
  </si>
  <si>
    <t>ADC</t>
  </si>
  <si>
    <t>Number of Visits Attending</t>
  </si>
  <si>
    <t>Exaltation x 2</t>
  </si>
  <si>
    <t xml:space="preserve">Exaltation </t>
  </si>
  <si>
    <t>SwdB</t>
  </si>
  <si>
    <t>Full Team</t>
  </si>
  <si>
    <t>No Visits</t>
  </si>
  <si>
    <t>Jonathan</t>
  </si>
  <si>
    <t>Whitaker</t>
  </si>
  <si>
    <t>joncwhitaker@gmail.com</t>
  </si>
  <si>
    <t>YES</t>
  </si>
  <si>
    <t>Deputy</t>
  </si>
  <si>
    <t>James</t>
  </si>
  <si>
    <t>Kneller</t>
  </si>
  <si>
    <t xml:space="preserve">jjkneller7@gmail.com </t>
  </si>
  <si>
    <t>Second Provincial Grand Principal</t>
  </si>
  <si>
    <t>Christoper</t>
  </si>
  <si>
    <t>Davis</t>
  </si>
  <si>
    <t>christopherthomasdavis33@gmail.com</t>
  </si>
  <si>
    <t>Third Provincial Grand Principal</t>
  </si>
  <si>
    <t xml:space="preserve">Mark </t>
  </si>
  <si>
    <t>Orsmond</t>
  </si>
  <si>
    <t xml:space="preserve">mark_helen1@tiscali.co.uk </t>
  </si>
  <si>
    <t>Assistant to the Provincial Grand Principals</t>
  </si>
  <si>
    <t>Michael Paul</t>
  </si>
  <si>
    <t>Michael</t>
  </si>
  <si>
    <t>Trevett</t>
  </si>
  <si>
    <t>APGP</t>
  </si>
  <si>
    <t>apgp.hiow@gmail.com</t>
  </si>
  <si>
    <t>Simon Edward</t>
  </si>
  <si>
    <t>Simon</t>
  </si>
  <si>
    <t>Banham</t>
  </si>
  <si>
    <t>simon@aztech.me.uk</t>
  </si>
  <si>
    <t>Late Apologies</t>
  </si>
  <si>
    <t>Adrian Colin</t>
  </si>
  <si>
    <t>Adrian</t>
  </si>
  <si>
    <t>Fretter</t>
  </si>
  <si>
    <t>adrian.c.fretter@ntlworld.com</t>
  </si>
  <si>
    <t>Apologies</t>
  </si>
  <si>
    <t>Provincial Grand Scribe E</t>
  </si>
  <si>
    <t>David Leslie</t>
  </si>
  <si>
    <t>David</t>
  </si>
  <si>
    <t>Ryan</t>
  </si>
  <si>
    <t>ProvGSE</t>
  </si>
  <si>
    <t>Provincial Grand Scribe N</t>
  </si>
  <si>
    <t>Mark Stephen</t>
  </si>
  <si>
    <t>Green</t>
  </si>
  <si>
    <t>ProvGSN</t>
  </si>
  <si>
    <t>mark.green1961@icloud.com</t>
  </si>
  <si>
    <t>Provincial Grand Treasurer</t>
  </si>
  <si>
    <t>Anthony John</t>
  </si>
  <si>
    <t>Anthony</t>
  </si>
  <si>
    <t>Denton</t>
  </si>
  <si>
    <t>ProvGTreas</t>
  </si>
  <si>
    <t>tdenton888@gmail.com</t>
  </si>
  <si>
    <t>Provincial Grand Registrar</t>
  </si>
  <si>
    <t>Ronald John</t>
  </si>
  <si>
    <t>Ronald</t>
  </si>
  <si>
    <t>Griffiths</t>
  </si>
  <si>
    <t>ProvGReg</t>
  </si>
  <si>
    <t>ron.griffiths3@btinternet.com</t>
  </si>
  <si>
    <t>Provincial Grand Director of Ceremonies</t>
  </si>
  <si>
    <t>Michael John</t>
  </si>
  <si>
    <t>Ingram</t>
  </si>
  <si>
    <t>ProvGDC</t>
  </si>
  <si>
    <t>michaelingram@ntlworld.com</t>
  </si>
  <si>
    <t>Provincial Grand Sword Bearer</t>
  </si>
  <si>
    <t>Maurice Frank</t>
  </si>
  <si>
    <t>Maurice</t>
  </si>
  <si>
    <t>Doe</t>
  </si>
  <si>
    <t>ProvGSwdB</t>
  </si>
  <si>
    <t>mauricefdoe@gmail.com</t>
  </si>
  <si>
    <t>Provincial Deputy Grand Registrar</t>
  </si>
  <si>
    <t>John Richard</t>
  </si>
  <si>
    <t>John</t>
  </si>
  <si>
    <t>Saulet</t>
  </si>
  <si>
    <t>ProvDepGReg</t>
  </si>
  <si>
    <t>sauletjohn@gmail.com</t>
  </si>
  <si>
    <t>Provincial Deputy Grand Scribe E</t>
  </si>
  <si>
    <t>Stephen Harry</t>
  </si>
  <si>
    <t>Stephen</t>
  </si>
  <si>
    <t>Slade</t>
  </si>
  <si>
    <t>ProvDepGSE</t>
  </si>
  <si>
    <t xml:space="preserve">provdgse@hantsandiowroyalarch.com </t>
  </si>
  <si>
    <t>Provincial Deputy Grand Director of Ceremonies</t>
  </si>
  <si>
    <t>James William</t>
  </si>
  <si>
    <t>Child</t>
  </si>
  <si>
    <t>ProvDepGDC</t>
  </si>
  <si>
    <t>masonic@jwchild.co.uk</t>
  </si>
  <si>
    <t>Anthony William</t>
  </si>
  <si>
    <t>Latter</t>
  </si>
  <si>
    <t>tonylatter63@gmail.com</t>
  </si>
  <si>
    <t>Christopher John</t>
  </si>
  <si>
    <t>Christopher</t>
  </si>
  <si>
    <t>Wolohan</t>
  </si>
  <si>
    <t>cjwolohan@googlemail.com</t>
  </si>
  <si>
    <t>Provincial Deputy Grand Sword Bearer</t>
  </si>
  <si>
    <t>Paul</t>
  </si>
  <si>
    <t>Hitchcock</t>
  </si>
  <si>
    <t>ProvDepGSwdB</t>
  </si>
  <si>
    <t>paul.hitchcock47@gmail.com</t>
  </si>
  <si>
    <t>Provincial Grand Almoner</t>
  </si>
  <si>
    <t>Malcolm James</t>
  </si>
  <si>
    <t>Malcolm</t>
  </si>
  <si>
    <t>Collier</t>
  </si>
  <si>
    <t>ProvGAlm</t>
  </si>
  <si>
    <t>malcolm.collier@btinternet.com</t>
  </si>
  <si>
    <t>Provincial Grand Charity Steward</t>
  </si>
  <si>
    <t>David Robert</t>
  </si>
  <si>
    <t>Wood</t>
  </si>
  <si>
    <t>ProvGChStwd</t>
  </si>
  <si>
    <t>dwjw1@aol.com</t>
  </si>
  <si>
    <t>Provincial Grand Membership Officer</t>
  </si>
  <si>
    <t>Andrew Mark</t>
  </si>
  <si>
    <t>Andrew</t>
  </si>
  <si>
    <t>Fuller</t>
  </si>
  <si>
    <t>ProvGMO</t>
  </si>
  <si>
    <t>andrewfuller999@hotmail.co.uk</t>
  </si>
  <si>
    <t>Provincial Grand Communications Officer</t>
  </si>
  <si>
    <t>Roger Neil</t>
  </si>
  <si>
    <t>Roger</t>
  </si>
  <si>
    <t>Maber</t>
  </si>
  <si>
    <t>ProvGCO</t>
  </si>
  <si>
    <t>roger.maber@gmail.com</t>
  </si>
  <si>
    <t>Provincial Grand Mentor</t>
  </si>
  <si>
    <t>Glyn David</t>
  </si>
  <si>
    <t>Glyn</t>
  </si>
  <si>
    <t>Evans</t>
  </si>
  <si>
    <t>ProvGMen</t>
  </si>
  <si>
    <t>glynpfc1@gmail.com</t>
  </si>
  <si>
    <t>Provincial Grand Sojourner</t>
  </si>
  <si>
    <t>Angus Mcdonald</t>
  </si>
  <si>
    <t>Angus</t>
  </si>
  <si>
    <t>Steel</t>
  </si>
  <si>
    <t>ProvGSoj</t>
  </si>
  <si>
    <t>208gus@gmail.com</t>
  </si>
  <si>
    <t>Provincial 1st Assistant Grand Sojourner</t>
  </si>
  <si>
    <t>Robert Huw</t>
  </si>
  <si>
    <t>Robert</t>
  </si>
  <si>
    <t>Williams</t>
  </si>
  <si>
    <t>Prov1stAGSoj</t>
  </si>
  <si>
    <t>bobwilluk@yahoo.co.uk</t>
  </si>
  <si>
    <t>Provincial 2nd Assistant Grand Sojourner</t>
  </si>
  <si>
    <t>Threadingham</t>
  </si>
  <si>
    <t>Prov2ndAGSoj</t>
  </si>
  <si>
    <t>simon.threadingham@hotmail.co.uk</t>
  </si>
  <si>
    <t>Provincial Grand Standard Bearer</t>
  </si>
  <si>
    <t>Peter David</t>
  </si>
  <si>
    <t xml:space="preserve">Peter </t>
  </si>
  <si>
    <t>Martin</t>
  </si>
  <si>
    <t>ProvGStB</t>
  </si>
  <si>
    <t>pdm@pdmsys.uk</t>
  </si>
  <si>
    <t>Ian David</t>
  </si>
  <si>
    <t>Ian</t>
  </si>
  <si>
    <t>Warburton</t>
  </si>
  <si>
    <t>warburton54@outlook.com</t>
  </si>
  <si>
    <t>Kevin Richard</t>
  </si>
  <si>
    <t>Kevin</t>
  </si>
  <si>
    <t>Dennis</t>
  </si>
  <si>
    <t>kevindennis@ntlworld.com</t>
  </si>
  <si>
    <t>YES ND</t>
  </si>
  <si>
    <t>Gordon Hugh</t>
  </si>
  <si>
    <t>Gordon</t>
  </si>
  <si>
    <t>Adams</t>
  </si>
  <si>
    <t>gordonadams504@gmail.com</t>
  </si>
  <si>
    <t>Michael Patrick</t>
  </si>
  <si>
    <t>Salter</t>
  </si>
  <si>
    <t>salt191@hotmail.com</t>
  </si>
  <si>
    <t>Ali</t>
  </si>
  <si>
    <t>Nazaripour</t>
  </si>
  <si>
    <t>nazaripour@live.co.uk</t>
  </si>
  <si>
    <t>Provincial Grand Organist</t>
  </si>
  <si>
    <t>Andrew Rhys</t>
  </si>
  <si>
    <t>Morris</t>
  </si>
  <si>
    <t>ProvGOrg</t>
  </si>
  <si>
    <t>masonic@andymorris.co.uk</t>
  </si>
  <si>
    <t>Provincial Assistant Grand Director of Ceremonies</t>
  </si>
  <si>
    <t>Nicholas Denzil</t>
  </si>
  <si>
    <t>Nicholas</t>
  </si>
  <si>
    <t>Francis</t>
  </si>
  <si>
    <t>ProvAGDC</t>
  </si>
  <si>
    <t>nick.francis@andover.co.uk</t>
  </si>
  <si>
    <t>Brenton Neil</t>
  </si>
  <si>
    <t>Brenton</t>
  </si>
  <si>
    <t>Christie</t>
  </si>
  <si>
    <t>benandjan@btinternet.com</t>
  </si>
  <si>
    <t>David James</t>
  </si>
  <si>
    <t>Tidman</t>
  </si>
  <si>
    <t>davtid@live.co.uk</t>
  </si>
  <si>
    <t>Provincial Grand Janitor</t>
  </si>
  <si>
    <t>Kevin Terence</t>
  </si>
  <si>
    <t>Hutchins</t>
  </si>
  <si>
    <t>ProvGJan</t>
  </si>
  <si>
    <t>khutchins1@sky.com</t>
  </si>
  <si>
    <t>Provincial Grand Steward</t>
  </si>
  <si>
    <t>Peter James Russell</t>
  </si>
  <si>
    <t>Hughes</t>
  </si>
  <si>
    <t>ProvGStwd</t>
  </si>
  <si>
    <t>hughes_peter43@sky.com</t>
  </si>
  <si>
    <t>Paul Samuel</t>
  </si>
  <si>
    <t>Wray</t>
  </si>
  <si>
    <t>paul.wray2016@outlook.com</t>
  </si>
  <si>
    <t>David Simon</t>
  </si>
  <si>
    <t>Burrows</t>
  </si>
  <si>
    <t>davesburrows@hotmail.com</t>
  </si>
  <si>
    <t>Stephen Andrew</t>
  </si>
  <si>
    <t>Lark</t>
  </si>
  <si>
    <t>upwiththelark@live.com</t>
  </si>
  <si>
    <t>Paul Thomas</t>
  </si>
  <si>
    <t>Davies</t>
  </si>
  <si>
    <t>paultdavies@sky.com</t>
  </si>
  <si>
    <t>Anthony James</t>
  </si>
  <si>
    <t>anthony.williams5295@gmail.com</t>
  </si>
  <si>
    <t>Colin</t>
  </si>
  <si>
    <t>Spender</t>
  </si>
  <si>
    <t>colin.spender@outlook.com</t>
  </si>
  <si>
    <t>Christopher Dennis</t>
  </si>
  <si>
    <t>Clark</t>
  </si>
  <si>
    <t>chrisclark855@btinternet.com</t>
  </si>
  <si>
    <t>Kent</t>
  </si>
  <si>
    <t>kentmp@aol.com</t>
  </si>
  <si>
    <t>Stephen Brian Michael</t>
  </si>
  <si>
    <t>Saunders</t>
  </si>
  <si>
    <t>steveb.saunders@gmail.com</t>
  </si>
  <si>
    <t>NCA Area Chairman</t>
  </si>
  <si>
    <t>Charles McGeoch</t>
  </si>
  <si>
    <t>charles@mcgeoch.com</t>
  </si>
  <si>
    <t>NEA Area Chairman</t>
  </si>
  <si>
    <t>David Conway-Holland</t>
  </si>
  <si>
    <t>conwayhd@btinternet.com</t>
  </si>
  <si>
    <t>SCA Area Chairman</t>
  </si>
  <si>
    <t>Michael Geddes</t>
  </si>
  <si>
    <t>mick@mickgeddes.com</t>
  </si>
  <si>
    <t>SEA Area Chairman</t>
  </si>
  <si>
    <t>Peter Buchanan</t>
  </si>
  <si>
    <t>peter@stclaireopals.com</t>
  </si>
  <si>
    <t>SWA Area Chairman</t>
  </si>
  <si>
    <t>Andrew Weldycz</t>
  </si>
  <si>
    <t>andrew@weldycz.org</t>
  </si>
  <si>
    <t>Solent Area Chairman</t>
  </si>
  <si>
    <t>David Hilton</t>
  </si>
  <si>
    <t xml:space="preserve">david7852@btinternet.com </t>
  </si>
  <si>
    <t>Brett Clark</t>
  </si>
  <si>
    <t xml:space="preserve">brett_iow@hotmail.com </t>
  </si>
  <si>
    <t>provgse@hantsandiowroyalarch.com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</si>
</sst>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21" x14ac:knownFonts="1">
    <font>
      <sz val="11"/>
      <color theme="1"/>
      <name val="Aptos Narrow"/>
      <family val="2"/>
      <charset val="1"/>
    </font>
    <font>
      <sz val="10"/>
      <name val="Arial"/>
      <family val="2"/>
    </font>
    <font>
      <sz val="10"/>
      <color theme="1"/>
      <name val="Arial Narrow"/>
      <family val="2"/>
      <charset val="1"/>
    </font>
    <font>
      <b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/>
      <sz val="11"/>
      <color theme="1"/>
      <name val="Aptos Narrow"/>
      <family val="2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color theme="1"/>
      <name val="Aptos Narrow"/>
    </font>
    <font>
      <sz val="10"/>
      <color theme="1"/>
      <name val="Aptos Narrow"/>
      <family val="2"/>
      <charset val="1"/>
    </font>
    <font>
      <b/>
      <sz val="10"/>
      <color theme="1"/>
      <name val="Aptos Narrow"/>
      <family val="2"/>
      <charset val="1"/>
    </font>
    <font>
      <b/>
      <strike/>
      <sz val="10"/>
      <color theme="1"/>
      <name val="Aptos Narrow"/>
      <family val="2"/>
      <charset val="1"/>
    </font>
    <font>
      <strike/>
      <sz val="10"/>
      <color theme="1"/>
      <name val="Aptos Narrow"/>
      <family val="2"/>
      <charset val="1"/>
    </font>
    <font>
      <strike/>
      <sz val="11"/>
      <color theme="1"/>
      <name val="Aptos Narrow"/>
      <family val="2"/>
      <charset val="1"/>
    </font>
    <font>
      <strike/>
      <sz val="11"/>
      <color theme="1"/>
      <name val="Arial"/>
      <family val="2"/>
      <charset val="1"/>
    </font>
    <font>
      <strike/>
      <sz val="10"/>
      <color theme="1"/>
      <name val="Arial Narrow"/>
      <family val="2"/>
      <charset val="1"/>
    </font>
    <font>
      <b/>
      <strike/>
      <sz val="11"/>
      <color theme="1"/>
      <name val="Arial"/>
      <family val="2"/>
      <charset val="1"/>
    </font>
    <font>
      <b/>
      <sz val="11"/>
      <color rgb="FF158466"/>
      <name val="Aptos Narrow"/>
      <family val="2"/>
      <charset val="1"/>
    </font>
    <font>
      <sz val="9"/>
      <color theme="1"/>
      <name val="Trebuchet MS"/>
      <family val="2"/>
      <charset val="1"/>
    </font>
    <font>
      <u/>
      <sz val="11"/>
      <color theme="10"/>
      <name val="Aptos Narrow"/>
      <family val="2"/>
      <charset val="1"/>
    </font>
    <font>
      <sz val="10"/>
      <color rgb="FF00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00A933"/>
        <bgColor rgb="FF158466"/>
      </patternFill>
    </fill>
    <fill>
      <patternFill patternType="solid">
        <fgColor rgb="FFB4C7D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B2B2B2"/>
        <bgColor rgb="FFB4C7DC"/>
      </patternFill>
    </fill>
    <fill>
      <patternFill patternType="solid">
        <fgColor rgb="FFCCCCCC"/>
        <bgColor rgb="FFB4C7DC"/>
      </patternFill>
    </fill>
    <fill>
      <patternFill patternType="solid">
        <fgColor rgb="FFDDE8CB"/>
        <bgColor rgb="FFD9F2D0"/>
      </patternFill>
    </fill>
    <fill>
      <patternFill patternType="solid">
        <fgColor rgb="FFF7D1D5"/>
        <bgColor rgb="FFFFD8CE"/>
      </patternFill>
    </fill>
    <fill>
      <patternFill patternType="solid">
        <fgColor rgb="FFFFD8CE"/>
        <bgColor rgb="FFF7D1D5"/>
      </patternFill>
    </fill>
    <fill>
      <patternFill patternType="solid">
        <fgColor rgb="FFD9F2D0"/>
        <bgColor rgb="FFDDE8CB"/>
      </patternFill>
    </fill>
    <fill>
      <patternFill patternType="solid">
        <fgColor rgb="FFFFC000"/>
        <bgColor rgb="FFFF9900"/>
      </patternFill>
    </fill>
    <fill>
      <patternFill patternType="solid">
        <fgColor rgb="FFFFFFFF"/>
        <bgColor rgb="FFE8E8E8"/>
      </patternFill>
    </fill>
    <fill>
      <patternFill patternType="solid">
        <fgColor theme="2"/>
        <bgColor rgb="FFDCEAF7"/>
      </patternFill>
    </fill>
    <fill>
      <patternFill patternType="solid">
        <fgColor rgb="FF00B0F0"/>
        <bgColor rgb="FF46B1E1"/>
      </patternFill>
    </fill>
    <fill>
      <patternFill patternType="solid">
        <fgColor theme="3" tint="0.89989928891872917"/>
        <bgColor rgb="FFE8E8E8"/>
      </patternFill>
    </fill>
    <fill>
      <patternFill patternType="solid">
        <fgColor rgb="FF92D050"/>
        <bgColor rgb="FFB2B2B2"/>
      </patternFill>
    </fill>
    <fill>
      <patternFill patternType="solid">
        <fgColor rgb="FFFF0000"/>
        <bgColor rgb="FF993300"/>
      </patternFill>
    </fill>
    <fill>
      <patternFill patternType="solid">
        <fgColor rgb="FF46B1E1"/>
        <bgColor rgb="FF00B0F0"/>
      </patternFill>
    </fill>
    <fill>
      <patternFill patternType="solid">
        <fgColor rgb="FF999999"/>
        <bgColor rgb="FF80808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11" borderId="1" xfId="0" applyFill="1" applyBorder="1"/>
    <xf numFmtId="0" fontId="3" fillId="10" borderId="2" xfId="0" applyFont="1" applyFill="1" applyBorder="1" applyAlignment="1">
      <alignment horizontal="center" vertical="center"/>
    </xf>
    <xf numFmtId="14" fontId="4" fillId="6" borderId="2" xfId="0" applyNumberFormat="1" applyFont="1" applyFill="1" applyBorder="1" applyAlignment="1">
      <alignment horizontal="center" vertical="center" wrapText="1"/>
    </xf>
    <xf numFmtId="14" fontId="4" fillId="0" borderId="2" xfId="0" applyNumberFormat="1" applyFont="1" applyBorder="1" applyAlignment="1">
      <alignment horizontal="center" vertical="center" wrapText="1"/>
    </xf>
    <xf numFmtId="14" fontId="4" fillId="7" borderId="2" xfId="0" applyNumberFormat="1" applyFont="1" applyFill="1" applyBorder="1" applyAlignment="1">
      <alignment horizontal="center" vertical="center" wrapText="1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4" fontId="4" fillId="8" borderId="2" xfId="0" applyNumberFormat="1" applyFont="1" applyFill="1" applyBorder="1" applyAlignment="1">
      <alignment horizontal="center" vertical="center" wrapText="1"/>
    </xf>
    <xf numFmtId="14" fontId="4" fillId="12" borderId="2" xfId="0" applyNumberFormat="1" applyFont="1" applyFill="1" applyBorder="1" applyAlignment="1">
      <alignment horizontal="center" vertical="center" wrapText="1"/>
    </xf>
    <xf numFmtId="14" fontId="4" fillId="5" borderId="2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0" fontId="5" fillId="6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0" fillId="14" borderId="1" xfId="0" applyFill="1" applyBorder="1"/>
    <xf numFmtId="0" fontId="0" fillId="0" borderId="1" xfId="0" applyBorder="1"/>
    <xf numFmtId="0" fontId="3" fillId="1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15" borderId="1" xfId="0" applyFont="1" applyFill="1" applyBorder="1" applyAlignment="1">
      <alignment horizontal="center"/>
    </xf>
    <xf numFmtId="0" fontId="0" fillId="16" borderId="1" xfId="0" applyFill="1" applyBorder="1"/>
    <xf numFmtId="0" fontId="3" fillId="0" borderId="0" xfId="0" applyFont="1" applyAlignment="1">
      <alignment horizontal="center" vertical="center"/>
    </xf>
    <xf numFmtId="0" fontId="8" fillId="6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8" fillId="7" borderId="0" xfId="0" applyFont="1" applyFill="1" applyAlignment="1">
      <alignment horizontal="center"/>
    </xf>
    <xf numFmtId="0" fontId="0" fillId="7" borderId="0" xfId="0" applyFill="1" applyAlignment="1">
      <alignment horizontal="center" wrapText="1"/>
    </xf>
    <xf numFmtId="165" fontId="8" fillId="7" borderId="0" xfId="0" applyNumberFormat="1" applyFont="1" applyFill="1" applyAlignment="1">
      <alignment horizontal="center"/>
    </xf>
    <xf numFmtId="0" fontId="0" fillId="17" borderId="1" xfId="0" applyFill="1" applyBorder="1"/>
    <xf numFmtId="0" fontId="0" fillId="0" borderId="3" xfId="0" applyBorder="1"/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4" fillId="0" borderId="1" xfId="0" applyFont="1" applyBorder="1" applyAlignment="1">
      <alignment horizontal="left" vertical="center"/>
    </xf>
    <xf numFmtId="0" fontId="4" fillId="0" borderId="1" xfId="0" applyFont="1" applyBorder="1"/>
    <xf numFmtId="0" fontId="2" fillId="0" borderId="1" xfId="0" applyFont="1" applyBorder="1"/>
    <xf numFmtId="0" fontId="3" fillId="13" borderId="1" xfId="0" applyFont="1" applyFill="1" applyBorder="1"/>
    <xf numFmtId="0" fontId="9" fillId="0" borderId="1" xfId="0" applyFont="1" applyBorder="1"/>
    <xf numFmtId="0" fontId="9" fillId="6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/>
    <xf numFmtId="0" fontId="9" fillId="0" borderId="0" xfId="0" applyFont="1"/>
    <xf numFmtId="0" fontId="4" fillId="0" borderId="4" xfId="0" applyFont="1" applyBorder="1"/>
    <xf numFmtId="0" fontId="2" fillId="0" borderId="4" xfId="0" applyFont="1" applyBorder="1"/>
    <xf numFmtId="0" fontId="9" fillId="0" borderId="5" xfId="0" applyFont="1" applyBorder="1"/>
    <xf numFmtId="0" fontId="11" fillId="0" borderId="1" xfId="0" applyFont="1" applyBorder="1" applyAlignment="1">
      <alignment horizontal="center" vertical="center"/>
    </xf>
    <xf numFmtId="49" fontId="4" fillId="0" borderId="1" xfId="0" applyNumberFormat="1" applyFont="1" applyBorder="1"/>
    <xf numFmtId="49" fontId="4" fillId="0" borderId="4" xfId="0" applyNumberFormat="1" applyFont="1" applyBorder="1"/>
    <xf numFmtId="49" fontId="2" fillId="0" borderId="0" xfId="0" applyNumberFormat="1" applyFont="1"/>
    <xf numFmtId="0" fontId="3" fillId="0" borderId="1" xfId="0" applyFont="1" applyBorder="1"/>
    <xf numFmtId="0" fontId="0" fillId="0" borderId="5" xfId="0" applyBorder="1"/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12" borderId="1" xfId="0" applyFont="1" applyFill="1" applyBorder="1" applyAlignment="1">
      <alignment horizontal="center" vertical="center"/>
    </xf>
    <xf numFmtId="49" fontId="4" fillId="9" borderId="1" xfId="0" applyNumberFormat="1" applyFont="1" applyFill="1" applyBorder="1"/>
    <xf numFmtId="49" fontId="4" fillId="9" borderId="4" xfId="0" applyNumberFormat="1" applyFont="1" applyFill="1" applyBorder="1"/>
    <xf numFmtId="0" fontId="3" fillId="9" borderId="1" xfId="0" applyFont="1" applyFill="1" applyBorder="1"/>
    <xf numFmtId="0" fontId="0" fillId="9" borderId="5" xfId="0" applyFill="1" applyBorder="1"/>
    <xf numFmtId="0" fontId="0" fillId="9" borderId="1" xfId="0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0" xfId="0" applyFont="1" applyFill="1"/>
    <xf numFmtId="0" fontId="12" fillId="0" borderId="1" xfId="0" applyFont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4" fillId="12" borderId="1" xfId="0" applyNumberFormat="1" applyFont="1" applyFill="1" applyBorder="1"/>
    <xf numFmtId="49" fontId="4" fillId="12" borderId="4" xfId="0" applyNumberFormat="1" applyFont="1" applyFill="1" applyBorder="1"/>
    <xf numFmtId="0" fontId="0" fillId="16" borderId="1" xfId="0" applyFill="1" applyBorder="1" applyAlignment="1">
      <alignment horizontal="center" vertical="center"/>
    </xf>
    <xf numFmtId="49" fontId="14" fillId="19" borderId="1" xfId="0" applyNumberFormat="1" applyFont="1" applyFill="1" applyBorder="1"/>
    <xf numFmtId="49" fontId="14" fillId="19" borderId="4" xfId="0" applyNumberFormat="1" applyFont="1" applyFill="1" applyBorder="1"/>
    <xf numFmtId="49" fontId="15" fillId="19" borderId="0" xfId="0" applyNumberFormat="1" applyFont="1" applyFill="1"/>
    <xf numFmtId="0" fontId="16" fillId="19" borderId="1" xfId="0" applyFont="1" applyFill="1" applyBorder="1"/>
    <xf numFmtId="0" fontId="13" fillId="19" borderId="5" xfId="0" applyFont="1" applyFill="1" applyBorder="1"/>
    <xf numFmtId="0" fontId="13" fillId="19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center" vertical="center"/>
    </xf>
    <xf numFmtId="0" fontId="11" fillId="19" borderId="0" xfId="0" applyFont="1" applyFill="1"/>
    <xf numFmtId="0" fontId="1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49" fontId="0" fillId="0" borderId="1" xfId="0" applyNumberFormat="1" applyBorder="1"/>
    <xf numFmtId="49" fontId="0" fillId="6" borderId="1" xfId="0" applyNumberFormat="1" applyFill="1" applyBorder="1"/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4" fillId="0" borderId="1" xfId="0" applyFont="1" applyBorder="1" applyAlignment="1">
      <alignment wrapText="1"/>
    </xf>
    <xf numFmtId="0" fontId="18" fillId="0" borderId="1" xfId="0" applyFont="1" applyBorder="1" applyAlignment="1">
      <alignment vertical="center"/>
    </xf>
    <xf numFmtId="0" fontId="5" fillId="13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 wrapText="1"/>
    </xf>
    <xf numFmtId="49" fontId="19" fillId="0" borderId="0" xfId="1" applyNumberFormat="1"/>
    <xf numFmtId="0" fontId="4" fillId="0" borderId="6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8466"/>
      <rgbColor rgb="FFCCCCCC"/>
      <rgbColor rgb="FF808080"/>
      <rgbColor rgb="FFB2B2B2"/>
      <rgbColor rgb="FF993366"/>
      <rgbColor rgb="FFE8E8E8"/>
      <rgbColor rgb="FFDCEAF7"/>
      <rgbColor rgb="FF660066"/>
      <rgbColor rgb="FFFF8080"/>
      <rgbColor rgb="FF0066CC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DE8CB"/>
      <rgbColor rgb="FFD9F2D0"/>
      <rgbColor rgb="FFF7D1D5"/>
      <rgbColor rgb="FF99CCFF"/>
      <rgbColor rgb="FFFF99CC"/>
      <rgbColor rgb="FFCC99FF"/>
      <rgbColor rgb="FFFFD8CE"/>
      <rgbColor rgb="FF3366FF"/>
      <rgbColor rgb="FF46B1E1"/>
      <rgbColor rgb="FF92D050"/>
      <rgbColor rgb="FFFFC000"/>
      <rgbColor rgb="FFFF9900"/>
      <rgbColor rgb="FFFF6600"/>
      <rgbColor rgb="FF666699"/>
      <rgbColor rgb="FF999999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jwolohan@googlemail.com" TargetMode="External"/><Relationship Id="rId13" Type="http://schemas.openxmlformats.org/officeDocument/2006/relationships/hyperlink" Target="mailto:andrew@weldycz.org" TargetMode="External"/><Relationship Id="rId3" Type="http://schemas.openxmlformats.org/officeDocument/2006/relationships/hyperlink" Target="mailto:apgp.hiow@gmail.com" TargetMode="External"/><Relationship Id="rId7" Type="http://schemas.openxmlformats.org/officeDocument/2006/relationships/hyperlink" Target="mailto:tonylatter63@gmail.com" TargetMode="External"/><Relationship Id="rId12" Type="http://schemas.openxmlformats.org/officeDocument/2006/relationships/hyperlink" Target="mailto:peter@stclaireopals.com" TargetMode="External"/><Relationship Id="rId2" Type="http://schemas.openxmlformats.org/officeDocument/2006/relationships/hyperlink" Target="mailto:christopherthomasdavis33@gmail.com" TargetMode="External"/><Relationship Id="rId16" Type="http://schemas.openxmlformats.org/officeDocument/2006/relationships/comments" Target="../comments1.xml"/><Relationship Id="rId1" Type="http://schemas.openxmlformats.org/officeDocument/2006/relationships/hyperlink" Target="mailto:joncwhitaker@gmail.com" TargetMode="External"/><Relationship Id="rId6" Type="http://schemas.openxmlformats.org/officeDocument/2006/relationships/hyperlink" Target="mailto:masonic@jwchild.co.uk" TargetMode="External"/><Relationship Id="rId11" Type="http://schemas.openxmlformats.org/officeDocument/2006/relationships/hyperlink" Target="mailto:mick@mickgeddes.com" TargetMode="External"/><Relationship Id="rId5" Type="http://schemas.openxmlformats.org/officeDocument/2006/relationships/hyperlink" Target="mailto:mark.green1961@icloud.com" TargetMode="External"/><Relationship Id="rId15" Type="http://schemas.openxmlformats.org/officeDocument/2006/relationships/vmlDrawing" Target="../drawings/vmlDrawing1.vml"/><Relationship Id="rId10" Type="http://schemas.openxmlformats.org/officeDocument/2006/relationships/hyperlink" Target="mailto:conwayhd@btinternet.com" TargetMode="External"/><Relationship Id="rId4" Type="http://schemas.openxmlformats.org/officeDocument/2006/relationships/hyperlink" Target="mailto:provgse@hantsandiowroyalarch.com" TargetMode="External"/><Relationship Id="rId9" Type="http://schemas.openxmlformats.org/officeDocument/2006/relationships/hyperlink" Target="mailto:charles@mcgeoch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68"/>
  <sheetViews>
    <sheetView tabSelected="1" zoomScaleNormal="100" workbookViewId="0">
      <pane ySplit="9" topLeftCell="A10" activePane="bottomLeft" state="frozen"/>
      <selection activeCell="C1" sqref="C1"/>
      <selection pane="bottomLeft" activeCell="T14" sqref="T14"/>
    </sheetView>
  </sheetViews>
  <sheetFormatPr baseColWidth="10" defaultColWidth="8.83203125" defaultRowHeight="15" customHeight="1" x14ac:dyDescent="0.2"/>
  <cols>
    <col min="1" max="1" width="42.5" customWidth="1"/>
    <col min="2" max="2" width="24.83203125" customWidth="1"/>
    <col min="3" max="3" width="14" customWidth="1"/>
    <col min="4" max="4" width="16.1640625" customWidth="1"/>
    <col min="5" max="5" width="15.83203125" customWidth="1"/>
    <col min="6" max="6" width="32.33203125" style="1" customWidth="1"/>
    <col min="7" max="7" width="15.83203125" customWidth="1"/>
    <col min="8" max="8" width="15.6640625" customWidth="1"/>
    <col min="9" max="32" width="15.6640625" style="2" customWidth="1"/>
    <col min="33" max="33" width="16.83203125" style="2" customWidth="1"/>
    <col min="34" max="35" width="15.6640625" style="2" hidden="1" customWidth="1"/>
    <col min="36" max="49" width="15.6640625" style="2" customWidth="1"/>
    <col min="50" max="50" width="14.6640625" style="2" customWidth="1"/>
    <col min="51" max="51" width="18.5" customWidth="1"/>
  </cols>
  <sheetData>
    <row r="1" spans="1:67 16384:16384" x14ac:dyDescent="0.2">
      <c r="B1" t="s">
        <v>0</v>
      </c>
      <c r="I1" s="2">
        <v>1</v>
      </c>
      <c r="J1" s="2">
        <v>25</v>
      </c>
      <c r="K1" s="2">
        <v>2</v>
      </c>
      <c r="L1" s="2">
        <v>3</v>
      </c>
      <c r="M1" s="2">
        <v>4</v>
      </c>
      <c r="N1" s="2">
        <v>6</v>
      </c>
      <c r="O1" s="2">
        <v>7</v>
      </c>
      <c r="P1" s="2">
        <v>39</v>
      </c>
      <c r="Q1" s="2">
        <v>8</v>
      </c>
      <c r="R1" s="2">
        <v>9</v>
      </c>
      <c r="S1" s="2">
        <v>10</v>
      </c>
      <c r="T1" s="2">
        <v>24</v>
      </c>
      <c r="U1" s="2">
        <v>20</v>
      </c>
      <c r="V1" s="2">
        <v>11</v>
      </c>
      <c r="W1" s="2">
        <v>12</v>
      </c>
      <c r="X1" s="2">
        <v>13</v>
      </c>
      <c r="Y1" s="2">
        <v>14</v>
      </c>
      <c r="Z1" s="2">
        <v>17</v>
      </c>
      <c r="AA1" s="2">
        <v>15</v>
      </c>
      <c r="AB1" s="2">
        <v>16</v>
      </c>
      <c r="AC1" s="2">
        <v>18</v>
      </c>
      <c r="AD1" s="2">
        <v>19</v>
      </c>
      <c r="AE1" s="2">
        <v>21</v>
      </c>
      <c r="AF1" s="2">
        <v>22</v>
      </c>
      <c r="AG1" s="2">
        <v>23</v>
      </c>
      <c r="AH1" s="2">
        <v>24</v>
      </c>
      <c r="AI1" s="2">
        <v>25</v>
      </c>
      <c r="AJ1" s="2">
        <v>26</v>
      </c>
      <c r="AK1" s="2">
        <v>27</v>
      </c>
      <c r="AL1" s="2">
        <v>28</v>
      </c>
      <c r="AM1" s="2">
        <v>29</v>
      </c>
      <c r="AN1" s="2">
        <v>30</v>
      </c>
      <c r="AO1" s="2">
        <v>31</v>
      </c>
      <c r="AP1" s="2">
        <v>32</v>
      </c>
      <c r="AQ1" s="2">
        <v>33</v>
      </c>
      <c r="AR1" s="2">
        <v>34</v>
      </c>
      <c r="AS1" s="2">
        <v>35</v>
      </c>
      <c r="AT1" s="2">
        <v>36</v>
      </c>
      <c r="AU1" s="2">
        <v>37</v>
      </c>
      <c r="AV1" s="2">
        <v>5</v>
      </c>
      <c r="AW1" s="2">
        <v>38</v>
      </c>
    </row>
    <row r="2" spans="1:67 16384:16384" s="3" customFormat="1" ht="30" customHeight="1" x14ac:dyDescent="0.2">
      <c r="F2" s="4"/>
      <c r="H2" s="5" t="s">
        <v>1</v>
      </c>
      <c r="I2" s="6" t="s">
        <v>2</v>
      </c>
      <c r="J2" s="7" t="s">
        <v>3</v>
      </c>
      <c r="K2" s="6" t="s">
        <v>4</v>
      </c>
      <c r="L2" s="6" t="s">
        <v>5</v>
      </c>
      <c r="M2" s="6" t="s">
        <v>6</v>
      </c>
      <c r="N2" s="6" t="s">
        <v>7</v>
      </c>
      <c r="O2" s="6" t="s">
        <v>8</v>
      </c>
      <c r="P2" s="6" t="s">
        <v>9</v>
      </c>
      <c r="Q2" s="6" t="s">
        <v>10</v>
      </c>
      <c r="R2" s="6" t="s">
        <v>11</v>
      </c>
      <c r="S2" s="6" t="s">
        <v>12</v>
      </c>
      <c r="T2" s="7" t="s">
        <v>13</v>
      </c>
      <c r="U2" s="8" t="s">
        <v>14</v>
      </c>
      <c r="V2" s="8" t="s">
        <v>15</v>
      </c>
      <c r="W2" s="8" t="s">
        <v>16</v>
      </c>
      <c r="X2" s="8" t="s">
        <v>17</v>
      </c>
      <c r="Y2" s="8" t="s">
        <v>18</v>
      </c>
      <c r="Z2" s="9" t="s">
        <v>19</v>
      </c>
      <c r="AA2" s="8" t="s">
        <v>20</v>
      </c>
      <c r="AB2" s="8" t="s">
        <v>21</v>
      </c>
      <c r="AC2" s="8" t="s">
        <v>22</v>
      </c>
      <c r="AD2" s="8" t="s">
        <v>23</v>
      </c>
      <c r="AE2" s="8" t="s">
        <v>24</v>
      </c>
      <c r="AF2" s="8" t="s">
        <v>25</v>
      </c>
      <c r="AG2" s="8" t="s">
        <v>26</v>
      </c>
      <c r="AH2" s="10" t="s">
        <v>13</v>
      </c>
      <c r="AI2" s="10" t="s">
        <v>3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8" t="s">
        <v>35</v>
      </c>
      <c r="AS2" s="8" t="s">
        <v>36</v>
      </c>
      <c r="AT2" s="8" t="s">
        <v>37</v>
      </c>
      <c r="AU2" s="8" t="s">
        <v>38</v>
      </c>
      <c r="AV2" s="8" t="s">
        <v>39</v>
      </c>
      <c r="AW2" s="8" t="s">
        <v>40</v>
      </c>
      <c r="AX2" s="11"/>
      <c r="BO2"/>
      <c r="XFD2"/>
    </row>
    <row r="3" spans="1:67 16384:16384" ht="15" customHeight="1" x14ac:dyDescent="0.2">
      <c r="H3" s="12" t="s">
        <v>41</v>
      </c>
      <c r="I3" s="13">
        <v>5295</v>
      </c>
      <c r="J3" s="14">
        <v>1884</v>
      </c>
      <c r="K3" s="14">
        <v>694</v>
      </c>
      <c r="L3" s="14">
        <v>8832</v>
      </c>
      <c r="M3" s="15">
        <v>309</v>
      </c>
      <c r="N3" s="14">
        <v>1373</v>
      </c>
      <c r="O3" s="14">
        <v>487</v>
      </c>
      <c r="P3" s="14">
        <v>342</v>
      </c>
      <c r="Q3" s="14">
        <v>8222</v>
      </c>
      <c r="R3" s="14">
        <v>4356</v>
      </c>
      <c r="S3" s="14">
        <v>8116</v>
      </c>
      <c r="T3" s="14">
        <v>407</v>
      </c>
      <c r="U3" s="14">
        <v>8441</v>
      </c>
      <c r="V3" s="14">
        <v>7040</v>
      </c>
      <c r="W3" s="14">
        <v>2203</v>
      </c>
      <c r="X3" s="14">
        <v>1428</v>
      </c>
      <c r="Y3" s="14">
        <v>132</v>
      </c>
      <c r="Z3" s="16">
        <v>8597</v>
      </c>
      <c r="AA3" s="14">
        <v>1971</v>
      </c>
      <c r="AB3" s="14">
        <v>1958</v>
      </c>
      <c r="AC3" s="14">
        <v>903</v>
      </c>
      <c r="AD3" s="14">
        <v>130</v>
      </c>
      <c r="AE3" s="14">
        <v>6818</v>
      </c>
      <c r="AF3" s="14">
        <v>6422</v>
      </c>
      <c r="AG3" s="14">
        <v>175</v>
      </c>
      <c r="AH3" s="17">
        <v>407</v>
      </c>
      <c r="AI3" s="17">
        <v>1884</v>
      </c>
      <c r="AJ3" s="14">
        <v>7612</v>
      </c>
      <c r="AK3" s="14">
        <v>35</v>
      </c>
      <c r="AL3" s="14">
        <v>6181</v>
      </c>
      <c r="AM3" s="14">
        <v>5151</v>
      </c>
      <c r="AN3" s="14">
        <v>5468</v>
      </c>
      <c r="AO3" s="14">
        <v>2158</v>
      </c>
      <c r="AP3" s="14">
        <v>8996</v>
      </c>
      <c r="AQ3" s="14">
        <v>2169</v>
      </c>
      <c r="AR3" s="14">
        <v>2838</v>
      </c>
      <c r="AS3" s="14">
        <v>195</v>
      </c>
      <c r="AT3" s="14">
        <v>1461</v>
      </c>
      <c r="AU3" s="14">
        <v>2153</v>
      </c>
      <c r="AV3" s="14">
        <v>5150</v>
      </c>
      <c r="AW3" s="14">
        <v>2938</v>
      </c>
    </row>
    <row r="4" spans="1:67 16384:16384" x14ac:dyDescent="0.2">
      <c r="H4" s="12" t="s">
        <v>42</v>
      </c>
      <c r="I4" s="13" t="s">
        <v>43</v>
      </c>
      <c r="J4" s="18" t="s">
        <v>44</v>
      </c>
      <c r="K4" s="14" t="s">
        <v>45</v>
      </c>
      <c r="L4" s="14" t="s">
        <v>46</v>
      </c>
      <c r="M4" s="14" t="s">
        <v>43</v>
      </c>
      <c r="N4" s="14" t="s">
        <v>47</v>
      </c>
      <c r="O4" s="14" t="s">
        <v>43</v>
      </c>
      <c r="P4" s="18" t="s">
        <v>48</v>
      </c>
      <c r="Q4" s="14" t="s">
        <v>49</v>
      </c>
      <c r="R4" s="14" t="s">
        <v>46</v>
      </c>
      <c r="S4" s="14" t="s">
        <v>47</v>
      </c>
      <c r="T4" s="18" t="s">
        <v>50</v>
      </c>
      <c r="U4" s="18" t="s">
        <v>51</v>
      </c>
      <c r="V4" s="14" t="s">
        <v>52</v>
      </c>
      <c r="W4" s="14" t="s">
        <v>53</v>
      </c>
      <c r="X4" s="14" t="s">
        <v>46</v>
      </c>
      <c r="Y4" s="19" t="s">
        <v>54</v>
      </c>
      <c r="Z4" s="19" t="s">
        <v>55</v>
      </c>
      <c r="AA4" s="14" t="s">
        <v>53</v>
      </c>
      <c r="AB4" s="14" t="s">
        <v>56</v>
      </c>
      <c r="AC4" s="14" t="s">
        <v>57</v>
      </c>
      <c r="AD4" s="14" t="s">
        <v>58</v>
      </c>
      <c r="AE4" s="14" t="s">
        <v>49</v>
      </c>
      <c r="AF4" s="14" t="s">
        <v>56</v>
      </c>
      <c r="AG4" s="14" t="s">
        <v>59</v>
      </c>
      <c r="AH4" s="17" t="s">
        <v>50</v>
      </c>
      <c r="AI4" s="17" t="s">
        <v>44</v>
      </c>
      <c r="AJ4" s="14" t="s">
        <v>45</v>
      </c>
      <c r="AK4" s="14" t="s">
        <v>60</v>
      </c>
      <c r="AL4" s="14" t="s">
        <v>61</v>
      </c>
      <c r="AM4" s="14" t="s">
        <v>62</v>
      </c>
      <c r="AN4" s="14" t="s">
        <v>63</v>
      </c>
      <c r="AO4" s="14" t="s">
        <v>64</v>
      </c>
      <c r="AP4" s="14" t="s">
        <v>64</v>
      </c>
      <c r="AQ4" s="14" t="s">
        <v>65</v>
      </c>
      <c r="AR4" s="14" t="s">
        <v>66</v>
      </c>
      <c r="AS4" s="14" t="s">
        <v>64</v>
      </c>
      <c r="AT4" s="14" t="s">
        <v>67</v>
      </c>
      <c r="AU4" s="14" t="s">
        <v>68</v>
      </c>
      <c r="AV4" s="18" t="s">
        <v>46</v>
      </c>
      <c r="AW4" s="14" t="s">
        <v>43</v>
      </c>
    </row>
    <row r="5" spans="1:67 16384:16384" ht="45" x14ac:dyDescent="0.2">
      <c r="A5" s="20" t="s">
        <v>69</v>
      </c>
      <c r="H5" s="21" t="s">
        <v>70</v>
      </c>
      <c r="I5" s="22" t="s">
        <v>71</v>
      </c>
      <c r="J5" s="8" t="s">
        <v>72</v>
      </c>
      <c r="K5" s="8" t="s">
        <v>73</v>
      </c>
      <c r="L5" s="23" t="s">
        <v>74</v>
      </c>
      <c r="M5" s="8" t="s">
        <v>73</v>
      </c>
      <c r="N5" s="14" t="s">
        <v>75</v>
      </c>
      <c r="O5" s="14" t="s">
        <v>75</v>
      </c>
      <c r="P5" s="8" t="s">
        <v>76</v>
      </c>
      <c r="Q5" s="8" t="s">
        <v>77</v>
      </c>
      <c r="R5" s="14" t="s">
        <v>75</v>
      </c>
      <c r="S5" s="8" t="s">
        <v>72</v>
      </c>
      <c r="T5" s="8" t="s">
        <v>72</v>
      </c>
      <c r="U5" s="8" t="s">
        <v>72</v>
      </c>
      <c r="V5" s="8" t="s">
        <v>71</v>
      </c>
      <c r="W5" s="8" t="s">
        <v>78</v>
      </c>
      <c r="X5" s="8" t="s">
        <v>73</v>
      </c>
      <c r="Y5" s="14" t="s">
        <v>75</v>
      </c>
      <c r="Z5" s="8" t="s">
        <v>73</v>
      </c>
      <c r="AA5" s="14" t="s">
        <v>75</v>
      </c>
      <c r="AB5" s="8" t="s">
        <v>72</v>
      </c>
      <c r="AC5" s="8" t="s">
        <v>71</v>
      </c>
      <c r="AD5" s="14" t="s">
        <v>75</v>
      </c>
      <c r="AE5" s="8" t="s">
        <v>71</v>
      </c>
      <c r="AF5" s="8" t="s">
        <v>73</v>
      </c>
      <c r="AG5" s="8" t="s">
        <v>72</v>
      </c>
      <c r="AH5" s="10" t="s">
        <v>72</v>
      </c>
      <c r="AI5" s="10" t="s">
        <v>72</v>
      </c>
      <c r="AJ5" s="14" t="s">
        <v>75</v>
      </c>
      <c r="AK5" s="8" t="s">
        <v>71</v>
      </c>
      <c r="AL5" s="8" t="s">
        <v>71</v>
      </c>
      <c r="AM5" s="14" t="s">
        <v>75</v>
      </c>
      <c r="AN5" s="8" t="s">
        <v>77</v>
      </c>
      <c r="AO5" s="8" t="s">
        <v>72</v>
      </c>
      <c r="AP5" s="23" t="s">
        <v>79</v>
      </c>
      <c r="AQ5" s="14" t="s">
        <v>75</v>
      </c>
      <c r="AR5" s="8" t="s">
        <v>73</v>
      </c>
      <c r="AS5" s="8" t="s">
        <v>73</v>
      </c>
      <c r="AT5" s="8" t="s">
        <v>73</v>
      </c>
      <c r="AU5" s="8" t="s">
        <v>77</v>
      </c>
      <c r="AV5" s="8" t="s">
        <v>71</v>
      </c>
      <c r="AW5" s="8" t="s">
        <v>71</v>
      </c>
    </row>
    <row r="6" spans="1:67 16384:16384" ht="15" customHeight="1" x14ac:dyDescent="0.2">
      <c r="A6" s="24" t="s">
        <v>80</v>
      </c>
      <c r="B6" s="25"/>
      <c r="H6" s="26" t="s">
        <v>81</v>
      </c>
      <c r="I6" s="27">
        <v>45820</v>
      </c>
      <c r="J6" s="28">
        <v>45903</v>
      </c>
      <c r="K6" s="29">
        <v>45916</v>
      </c>
      <c r="L6" s="30">
        <v>45917</v>
      </c>
      <c r="M6" s="30">
        <v>45918</v>
      </c>
      <c r="N6" s="28">
        <v>45936</v>
      </c>
      <c r="O6" s="31">
        <v>45943</v>
      </c>
      <c r="P6" s="31">
        <v>45947</v>
      </c>
      <c r="Q6" s="31">
        <v>45948</v>
      </c>
      <c r="R6" s="31">
        <v>45953</v>
      </c>
      <c r="S6" s="31">
        <v>45954</v>
      </c>
      <c r="T6" s="28">
        <v>45969</v>
      </c>
      <c r="U6" s="32">
        <v>45972</v>
      </c>
      <c r="V6" s="31">
        <v>45987</v>
      </c>
      <c r="W6" s="31">
        <v>45988</v>
      </c>
      <c r="X6" s="28">
        <v>45999</v>
      </c>
      <c r="Y6" s="28">
        <v>46037</v>
      </c>
      <c r="Z6" s="32">
        <v>46038</v>
      </c>
      <c r="AA6" s="28">
        <v>46038</v>
      </c>
      <c r="AB6" s="28">
        <v>46043</v>
      </c>
      <c r="AC6" s="28">
        <v>46057</v>
      </c>
      <c r="AD6" s="28">
        <v>46058</v>
      </c>
      <c r="AE6" s="28">
        <v>46064</v>
      </c>
      <c r="AF6" s="33">
        <v>46073</v>
      </c>
      <c r="AG6" s="28">
        <v>46076</v>
      </c>
      <c r="AH6" s="34">
        <v>46089</v>
      </c>
      <c r="AI6" s="34">
        <v>46092</v>
      </c>
      <c r="AJ6" s="28">
        <v>46094</v>
      </c>
      <c r="AK6" s="28">
        <v>46100</v>
      </c>
      <c r="AL6" s="31">
        <v>46120</v>
      </c>
      <c r="AM6" s="28">
        <v>46122</v>
      </c>
      <c r="AN6" s="31">
        <v>46126</v>
      </c>
      <c r="AO6" s="28">
        <v>46129</v>
      </c>
      <c r="AP6" s="28">
        <v>46129</v>
      </c>
      <c r="AQ6" s="28">
        <v>46132</v>
      </c>
      <c r="AR6" s="28">
        <v>46153</v>
      </c>
      <c r="AS6" s="31">
        <v>46155</v>
      </c>
      <c r="AT6" s="28">
        <v>46162</v>
      </c>
      <c r="AU6" s="28">
        <v>46168</v>
      </c>
      <c r="AV6" s="28">
        <v>45805</v>
      </c>
      <c r="AW6" s="33">
        <v>46175</v>
      </c>
    </row>
    <row r="7" spans="1:67 16384:16384" ht="15" customHeight="1" x14ac:dyDescent="0.2">
      <c r="A7" s="24" t="s">
        <v>82</v>
      </c>
      <c r="B7" s="35"/>
      <c r="G7" s="126" t="s">
        <v>83</v>
      </c>
      <c r="H7" s="126"/>
      <c r="I7" s="36">
        <f t="shared" ref="I7:Q7" si="0">COUNTIF(I11:I59,"YES")</f>
        <v>14</v>
      </c>
      <c r="J7" s="24">
        <f t="shared" si="0"/>
        <v>8</v>
      </c>
      <c r="K7" s="37">
        <f t="shared" si="0"/>
        <v>10</v>
      </c>
      <c r="L7" s="37">
        <f t="shared" si="0"/>
        <v>7</v>
      </c>
      <c r="M7" s="37">
        <f t="shared" si="0"/>
        <v>10</v>
      </c>
      <c r="N7" s="37">
        <f t="shared" si="0"/>
        <v>14</v>
      </c>
      <c r="O7" s="37">
        <f t="shared" si="0"/>
        <v>14</v>
      </c>
      <c r="P7" s="37">
        <f t="shared" si="0"/>
        <v>44</v>
      </c>
      <c r="Q7" s="37">
        <f t="shared" si="0"/>
        <v>9</v>
      </c>
      <c r="R7" s="37"/>
      <c r="S7" s="37">
        <f t="shared" ref="S7:AW7" si="1">COUNTIF(S11:S59,"YES")</f>
        <v>8</v>
      </c>
      <c r="T7" s="37">
        <f t="shared" si="1"/>
        <v>12</v>
      </c>
      <c r="U7" s="37">
        <f t="shared" si="1"/>
        <v>9</v>
      </c>
      <c r="V7" s="37">
        <f t="shared" si="1"/>
        <v>14</v>
      </c>
      <c r="W7" s="37">
        <f t="shared" si="1"/>
        <v>45</v>
      </c>
      <c r="X7" s="37">
        <f t="shared" si="1"/>
        <v>10</v>
      </c>
      <c r="Y7" s="37">
        <f t="shared" si="1"/>
        <v>15</v>
      </c>
      <c r="Z7" s="37">
        <f t="shared" si="1"/>
        <v>13</v>
      </c>
      <c r="AA7" s="37">
        <f t="shared" si="1"/>
        <v>13</v>
      </c>
      <c r="AB7" s="37">
        <f t="shared" si="1"/>
        <v>12</v>
      </c>
      <c r="AC7" s="37">
        <f t="shared" si="1"/>
        <v>11</v>
      </c>
      <c r="AD7" s="37">
        <f t="shared" si="1"/>
        <v>15</v>
      </c>
      <c r="AE7" s="37">
        <f t="shared" si="1"/>
        <v>15</v>
      </c>
      <c r="AF7" s="37">
        <f t="shared" si="1"/>
        <v>10</v>
      </c>
      <c r="AG7" s="37">
        <f t="shared" si="1"/>
        <v>11</v>
      </c>
      <c r="AH7" s="37">
        <f t="shared" si="1"/>
        <v>11</v>
      </c>
      <c r="AI7" s="37">
        <f t="shared" si="1"/>
        <v>12</v>
      </c>
      <c r="AJ7" s="37">
        <f t="shared" si="1"/>
        <v>16</v>
      </c>
      <c r="AK7" s="37">
        <f t="shared" si="1"/>
        <v>17</v>
      </c>
      <c r="AL7" s="37">
        <f t="shared" si="1"/>
        <v>13</v>
      </c>
      <c r="AM7" s="37">
        <f t="shared" si="1"/>
        <v>17</v>
      </c>
      <c r="AN7" s="37">
        <f t="shared" si="1"/>
        <v>7</v>
      </c>
      <c r="AO7" s="37">
        <f t="shared" si="1"/>
        <v>11</v>
      </c>
      <c r="AP7" s="37">
        <f t="shared" si="1"/>
        <v>15</v>
      </c>
      <c r="AQ7" s="37">
        <f t="shared" si="1"/>
        <v>18</v>
      </c>
      <c r="AR7" s="37">
        <f t="shared" si="1"/>
        <v>14</v>
      </c>
      <c r="AS7" s="37">
        <f t="shared" si="1"/>
        <v>12</v>
      </c>
      <c r="AT7" s="37">
        <f t="shared" si="1"/>
        <v>14</v>
      </c>
      <c r="AU7" s="37">
        <f t="shared" si="1"/>
        <v>9</v>
      </c>
      <c r="AV7" s="37">
        <f t="shared" si="1"/>
        <v>13</v>
      </c>
      <c r="AW7" s="37">
        <f t="shared" si="1"/>
        <v>15</v>
      </c>
    </row>
    <row r="8" spans="1:67 16384:16384" ht="15" customHeight="1" x14ac:dyDescent="0.2">
      <c r="A8" s="24" t="s">
        <v>84</v>
      </c>
      <c r="B8" s="38"/>
      <c r="G8" s="39"/>
      <c r="H8" s="40" t="s">
        <v>85</v>
      </c>
      <c r="I8" s="41" t="s">
        <v>86</v>
      </c>
      <c r="J8" s="42" t="s">
        <v>86</v>
      </c>
      <c r="K8" s="43" t="s">
        <v>87</v>
      </c>
      <c r="L8" s="43" t="s">
        <v>88</v>
      </c>
      <c r="M8" s="43" t="s">
        <v>86</v>
      </c>
      <c r="N8" s="43" t="s">
        <v>87</v>
      </c>
      <c r="O8" s="43" t="s">
        <v>86</v>
      </c>
      <c r="P8" s="43" t="s">
        <v>88</v>
      </c>
      <c r="Q8" s="43" t="s">
        <v>87</v>
      </c>
      <c r="R8" s="43"/>
      <c r="S8" s="43" t="s">
        <v>87</v>
      </c>
      <c r="T8" s="43" t="s">
        <v>89</v>
      </c>
      <c r="U8" s="43" t="s">
        <v>87</v>
      </c>
      <c r="V8" s="43" t="s">
        <v>90</v>
      </c>
      <c r="W8" s="43" t="s">
        <v>89</v>
      </c>
      <c r="X8" s="43" t="s">
        <v>88</v>
      </c>
      <c r="Y8" s="43" t="s">
        <v>90</v>
      </c>
      <c r="Z8" s="43" t="s">
        <v>88</v>
      </c>
      <c r="AA8" s="43" t="s">
        <v>89</v>
      </c>
      <c r="AB8" s="43" t="s">
        <v>88</v>
      </c>
      <c r="AC8" s="43" t="s">
        <v>86</v>
      </c>
      <c r="AD8" s="43" t="s">
        <v>91</v>
      </c>
      <c r="AE8" s="43" t="s">
        <v>87</v>
      </c>
      <c r="AF8" s="43" t="s">
        <v>88</v>
      </c>
      <c r="AG8" s="43" t="s">
        <v>86</v>
      </c>
      <c r="AH8" s="43" t="s">
        <v>89</v>
      </c>
      <c r="AI8" s="43" t="s">
        <v>86</v>
      </c>
      <c r="AJ8" s="43" t="s">
        <v>87</v>
      </c>
      <c r="AK8" s="43" t="s">
        <v>86</v>
      </c>
      <c r="AL8" s="43" t="s">
        <v>91</v>
      </c>
      <c r="AM8" s="43" t="s">
        <v>88</v>
      </c>
      <c r="AN8" s="43" t="s">
        <v>90</v>
      </c>
      <c r="AO8" s="43" t="s">
        <v>90</v>
      </c>
      <c r="AP8" s="43" t="s">
        <v>90</v>
      </c>
      <c r="AQ8" s="43" t="s">
        <v>86</v>
      </c>
      <c r="AR8" s="43" t="s">
        <v>86</v>
      </c>
      <c r="AS8" s="43" t="s">
        <v>90</v>
      </c>
      <c r="AT8" s="43" t="s">
        <v>91</v>
      </c>
      <c r="AU8" s="43" t="s">
        <v>88</v>
      </c>
      <c r="AV8" s="43" t="s">
        <v>88</v>
      </c>
      <c r="AW8" s="43" t="s">
        <v>86</v>
      </c>
    </row>
    <row r="9" spans="1:67 16384:16384" ht="15" customHeight="1" x14ac:dyDescent="0.2">
      <c r="A9" s="24" t="s">
        <v>92</v>
      </c>
      <c r="B9" s="44"/>
      <c r="G9" s="127" t="s">
        <v>93</v>
      </c>
      <c r="H9" s="45"/>
      <c r="I9" s="46"/>
      <c r="J9" s="47"/>
      <c r="K9" s="47"/>
      <c r="L9" s="48"/>
      <c r="M9" s="47"/>
      <c r="N9" s="47"/>
      <c r="O9" s="48"/>
      <c r="P9" s="47"/>
      <c r="Q9" s="47"/>
      <c r="R9" s="48"/>
      <c r="S9" s="48"/>
      <c r="T9" s="47"/>
      <c r="U9" s="47"/>
      <c r="V9" s="48"/>
      <c r="W9" s="47"/>
      <c r="X9" s="48"/>
      <c r="Y9" s="48"/>
      <c r="Z9" s="48"/>
      <c r="AA9" s="48"/>
      <c r="AB9" s="47"/>
      <c r="AC9" s="48" t="s">
        <v>94</v>
      </c>
      <c r="AD9" s="48"/>
      <c r="AE9" s="48"/>
      <c r="AF9" s="49" t="s">
        <v>95</v>
      </c>
      <c r="AG9" s="48"/>
      <c r="AH9" s="47"/>
      <c r="AI9" s="47"/>
      <c r="AJ9" s="48"/>
      <c r="AK9" s="48"/>
      <c r="AL9" s="48"/>
      <c r="AM9" s="48"/>
      <c r="AN9" s="48"/>
      <c r="AO9" s="47"/>
      <c r="AP9" s="50"/>
      <c r="AQ9" s="48"/>
      <c r="AR9" s="48"/>
      <c r="AS9" s="48"/>
      <c r="AT9" s="48"/>
      <c r="AU9" s="48"/>
      <c r="AV9" s="48"/>
      <c r="AW9" s="48"/>
    </row>
    <row r="10" spans="1:67 16384:16384" x14ac:dyDescent="0.2">
      <c r="A10" s="24" t="s">
        <v>96</v>
      </c>
      <c r="B10" s="51"/>
      <c r="G10" s="127"/>
      <c r="H10" s="52"/>
      <c r="I10" s="53"/>
      <c r="J10" s="54"/>
      <c r="K10" s="54"/>
      <c r="L10" s="54"/>
      <c r="M10" s="54"/>
      <c r="N10" s="54"/>
      <c r="O10" s="54"/>
      <c r="P10" s="55" t="s">
        <v>97</v>
      </c>
      <c r="Q10" s="54"/>
      <c r="R10" s="55" t="s">
        <v>97</v>
      </c>
      <c r="S10" s="54"/>
      <c r="T10" s="54"/>
      <c r="U10" s="54"/>
      <c r="V10" s="54"/>
      <c r="W10" s="55" t="s">
        <v>97</v>
      </c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6"/>
      <c r="AI10" s="56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7" t="s">
        <v>98</v>
      </c>
      <c r="AY10" s="58"/>
    </row>
    <row r="11" spans="1:67 16384:16384" s="70" customFormat="1" x14ac:dyDescent="0.2">
      <c r="A11" s="59" t="s">
        <v>75</v>
      </c>
      <c r="B11" s="60" t="s">
        <v>99</v>
      </c>
      <c r="C11" s="60" t="s">
        <v>99</v>
      </c>
      <c r="D11" s="60" t="s">
        <v>100</v>
      </c>
      <c r="E11" s="60"/>
      <c r="F11" s="61" t="s">
        <v>101</v>
      </c>
      <c r="G11" s="62">
        <f t="shared" ref="G11:G52" si="2">COUNTIF(I11:AW11,"YES")</f>
        <v>12</v>
      </c>
      <c r="H11" s="63"/>
      <c r="I11" s="64"/>
      <c r="J11" s="65"/>
      <c r="K11" s="65"/>
      <c r="L11" s="65"/>
      <c r="M11" s="65"/>
      <c r="N11" s="66" t="s">
        <v>102</v>
      </c>
      <c r="O11" s="66" t="s">
        <v>102</v>
      </c>
      <c r="P11" s="66" t="s">
        <v>102</v>
      </c>
      <c r="Q11" s="65"/>
      <c r="R11" s="66" t="s">
        <v>102</v>
      </c>
      <c r="S11" s="65"/>
      <c r="T11" s="65"/>
      <c r="U11" s="65"/>
      <c r="V11" s="65"/>
      <c r="W11" s="66" t="s">
        <v>102</v>
      </c>
      <c r="X11" s="65"/>
      <c r="Y11" s="66" t="s">
        <v>102</v>
      </c>
      <c r="Z11" s="65"/>
      <c r="AA11" s="66" t="s">
        <v>102</v>
      </c>
      <c r="AB11" s="65"/>
      <c r="AC11" s="65"/>
      <c r="AD11" s="66" t="s">
        <v>102</v>
      </c>
      <c r="AE11" s="65"/>
      <c r="AF11" s="65"/>
      <c r="AG11" s="65"/>
      <c r="AH11" s="67"/>
      <c r="AI11" s="67"/>
      <c r="AJ11" s="66" t="s">
        <v>102</v>
      </c>
      <c r="AK11" s="65"/>
      <c r="AL11" s="65"/>
      <c r="AM11" s="66" t="s">
        <v>102</v>
      </c>
      <c r="AN11" s="65"/>
      <c r="AO11" s="65"/>
      <c r="AP11" s="66" t="s">
        <v>102</v>
      </c>
      <c r="AQ11" s="66" t="s">
        <v>102</v>
      </c>
      <c r="AR11" s="65"/>
      <c r="AS11" s="65"/>
      <c r="AT11" s="65"/>
      <c r="AU11" s="65"/>
      <c r="AV11" s="65"/>
      <c r="AW11" s="65"/>
      <c r="AX11" s="68">
        <f t="shared" ref="AX11:AX52" si="3">COUNTIF(H11:AW11,"YES")</f>
        <v>12</v>
      </c>
      <c r="AY11" s="69" t="str">
        <f t="shared" ref="AY11:AY52" si="4">C11&amp;" "&amp;D11</f>
        <v>Jonathan Whitaker</v>
      </c>
      <c r="BO11"/>
      <c r="XFD11"/>
    </row>
    <row r="12" spans="1:67 16384:16384" s="70" customFormat="1" x14ac:dyDescent="0.2">
      <c r="A12" s="59" t="s">
        <v>103</v>
      </c>
      <c r="B12" s="60" t="s">
        <v>104</v>
      </c>
      <c r="C12" s="60" t="s">
        <v>104</v>
      </c>
      <c r="D12" s="60" t="s">
        <v>105</v>
      </c>
      <c r="E12" s="71"/>
      <c r="F12" s="72" t="s">
        <v>106</v>
      </c>
      <c r="G12" s="62">
        <f t="shared" si="2"/>
        <v>10</v>
      </c>
      <c r="H12" s="73"/>
      <c r="I12" s="64" t="s">
        <v>102</v>
      </c>
      <c r="J12" s="65"/>
      <c r="K12" s="65"/>
      <c r="L12" s="65"/>
      <c r="M12" s="65"/>
      <c r="N12" s="68" t="s">
        <v>102</v>
      </c>
      <c r="O12" s="65"/>
      <c r="P12" s="65" t="s">
        <v>102</v>
      </c>
      <c r="Q12" s="65"/>
      <c r="R12" s="65" t="s">
        <v>102</v>
      </c>
      <c r="S12" s="65"/>
      <c r="T12" s="65"/>
      <c r="U12" s="65"/>
      <c r="V12" s="66" t="s">
        <v>102</v>
      </c>
      <c r="W12" s="65" t="s">
        <v>102</v>
      </c>
      <c r="X12" s="65"/>
      <c r="Y12" s="65"/>
      <c r="Z12" s="65"/>
      <c r="AA12" s="65"/>
      <c r="AB12" s="65"/>
      <c r="AC12" s="66" t="s">
        <v>102</v>
      </c>
      <c r="AD12" s="65"/>
      <c r="AE12" s="66" t="s">
        <v>102</v>
      </c>
      <c r="AF12" s="65"/>
      <c r="AG12" s="65"/>
      <c r="AH12" s="67"/>
      <c r="AI12" s="67"/>
      <c r="AJ12" s="65"/>
      <c r="AK12" s="66" t="s">
        <v>102</v>
      </c>
      <c r="AL12" s="66" t="s">
        <v>102</v>
      </c>
      <c r="AM12" s="65"/>
      <c r="AN12" s="65"/>
      <c r="AO12" s="65"/>
      <c r="AP12" s="65"/>
      <c r="AQ12" s="65"/>
      <c r="AR12" s="65"/>
      <c r="AS12" s="65"/>
      <c r="AT12" s="65"/>
      <c r="AU12" s="65"/>
      <c r="AV12"/>
      <c r="AW12"/>
      <c r="AX12" s="68">
        <f t="shared" si="3"/>
        <v>10</v>
      </c>
      <c r="AY12" s="69" t="str">
        <f t="shared" si="4"/>
        <v>James Kneller</v>
      </c>
      <c r="BO12"/>
      <c r="XFD12"/>
    </row>
    <row r="13" spans="1:67 16384:16384" s="70" customFormat="1" x14ac:dyDescent="0.2">
      <c r="A13" s="59" t="s">
        <v>107</v>
      </c>
      <c r="B13" s="60" t="s">
        <v>108</v>
      </c>
      <c r="C13" s="60" t="s">
        <v>108</v>
      </c>
      <c r="D13" s="60" t="s">
        <v>109</v>
      </c>
      <c r="E13" s="71"/>
      <c r="F13" s="72" t="s">
        <v>110</v>
      </c>
      <c r="G13" s="62">
        <f t="shared" si="2"/>
        <v>17</v>
      </c>
      <c r="H13" s="73"/>
      <c r="I13" s="64"/>
      <c r="J13" s="65"/>
      <c r="K13" s="66" t="s">
        <v>102</v>
      </c>
      <c r="L13" s="65"/>
      <c r="M13" s="66" t="s">
        <v>102</v>
      </c>
      <c r="N13" s="65"/>
      <c r="O13" s="65"/>
      <c r="P13" s="65" t="s">
        <v>102</v>
      </c>
      <c r="Q13" s="65"/>
      <c r="R13" s="74" t="s">
        <v>102</v>
      </c>
      <c r="S13" s="65"/>
      <c r="T13" s="65"/>
      <c r="U13" s="65"/>
      <c r="V13" s="65"/>
      <c r="W13" s="65" t="s">
        <v>102</v>
      </c>
      <c r="X13" s="66" t="s">
        <v>102</v>
      </c>
      <c r="Y13" s="65"/>
      <c r="Z13" s="66" t="s">
        <v>102</v>
      </c>
      <c r="AA13" s="65"/>
      <c r="AB13" s="65"/>
      <c r="AC13" s="65"/>
      <c r="AD13" s="24" t="s">
        <v>102</v>
      </c>
      <c r="AE13" s="65"/>
      <c r="AF13" s="66" t="s">
        <v>102</v>
      </c>
      <c r="AG13" s="65"/>
      <c r="AH13" s="67"/>
      <c r="AI13" s="67"/>
      <c r="AJ13" s="65"/>
      <c r="AK13" s="24" t="s">
        <v>102</v>
      </c>
      <c r="AL13" s="65"/>
      <c r="AM13" s="24" t="s">
        <v>102</v>
      </c>
      <c r="AN13" s="65"/>
      <c r="AO13" s="65"/>
      <c r="AP13" s="65"/>
      <c r="AQ13" s="24" t="s">
        <v>102</v>
      </c>
      <c r="AR13" s="66" t="s">
        <v>102</v>
      </c>
      <c r="AS13" s="66" t="s">
        <v>102</v>
      </c>
      <c r="AT13" s="66" t="s">
        <v>102</v>
      </c>
      <c r="AU13" s="65"/>
      <c r="AV13" s="66" t="s">
        <v>102</v>
      </c>
      <c r="AW13" s="66" t="s">
        <v>102</v>
      </c>
      <c r="AX13" s="68">
        <f t="shared" si="3"/>
        <v>17</v>
      </c>
      <c r="AY13" s="69" t="str">
        <f t="shared" si="4"/>
        <v>Christoper Davis</v>
      </c>
      <c r="BO13"/>
      <c r="XFD13"/>
    </row>
    <row r="14" spans="1:67 16384:16384" s="70" customFormat="1" x14ac:dyDescent="0.2">
      <c r="A14" s="59" t="s">
        <v>111</v>
      </c>
      <c r="B14" s="60" t="s">
        <v>112</v>
      </c>
      <c r="C14" s="60" t="s">
        <v>112</v>
      </c>
      <c r="D14" s="60" t="s">
        <v>113</v>
      </c>
      <c r="E14" s="71"/>
      <c r="F14" s="4" t="s">
        <v>114</v>
      </c>
      <c r="G14" s="62">
        <f t="shared" si="2"/>
        <v>13</v>
      </c>
      <c r="H14" s="73"/>
      <c r="I14" s="64"/>
      <c r="J14" s="66" t="s">
        <v>102</v>
      </c>
      <c r="K14" s="65"/>
      <c r="L14" s="65"/>
      <c r="M14" s="65"/>
      <c r="N14" s="65"/>
      <c r="O14" s="65"/>
      <c r="P14" s="65" t="s">
        <v>102</v>
      </c>
      <c r="Q14" s="65"/>
      <c r="R14" s="65" t="s">
        <v>102</v>
      </c>
      <c r="S14" s="66" t="s">
        <v>102</v>
      </c>
      <c r="T14" s="66" t="s">
        <v>102</v>
      </c>
      <c r="U14" s="66" t="s">
        <v>102</v>
      </c>
      <c r="V14" s="65"/>
      <c r="W14" s="65" t="s">
        <v>102</v>
      </c>
      <c r="X14" s="65"/>
      <c r="Y14" s="65"/>
      <c r="Z14" s="24" t="s">
        <v>102</v>
      </c>
      <c r="AA14" s="65"/>
      <c r="AB14" s="66" t="s">
        <v>102</v>
      </c>
      <c r="AC14" s="65"/>
      <c r="AD14" s="65"/>
      <c r="AE14" s="65"/>
      <c r="AF14" s="65"/>
      <c r="AG14" s="66" t="s">
        <v>102</v>
      </c>
      <c r="AH14" s="66" t="s">
        <v>102</v>
      </c>
      <c r="AI14" s="66" t="s">
        <v>102</v>
      </c>
      <c r="AJ14" s="65"/>
      <c r="AK14" s="65"/>
      <c r="AL14" s="65"/>
      <c r="AM14" s="65"/>
      <c r="AN14" s="65"/>
      <c r="AO14" s="66" t="s">
        <v>102</v>
      </c>
      <c r="AP14" s="65"/>
      <c r="AQ14" s="65"/>
      <c r="AR14" s="65"/>
      <c r="AS14" s="65"/>
      <c r="AT14" s="65"/>
      <c r="AU14" s="65"/>
      <c r="AV14" s="65"/>
      <c r="AW14" s="65"/>
      <c r="AX14" s="68">
        <f t="shared" si="3"/>
        <v>13</v>
      </c>
      <c r="AY14" s="69" t="str">
        <f t="shared" si="4"/>
        <v>Mark  Orsmond</v>
      </c>
      <c r="BO14"/>
      <c r="XFD14"/>
    </row>
    <row r="15" spans="1:67 16384:16384" x14ac:dyDescent="0.2">
      <c r="A15" s="75" t="s">
        <v>115</v>
      </c>
      <c r="B15" s="75" t="s">
        <v>116</v>
      </c>
      <c r="C15" s="75" t="s">
        <v>117</v>
      </c>
      <c r="D15" s="75" t="s">
        <v>118</v>
      </c>
      <c r="E15" s="76" t="s">
        <v>119</v>
      </c>
      <c r="F15" s="77" t="s">
        <v>120</v>
      </c>
      <c r="G15" s="78">
        <f t="shared" si="2"/>
        <v>11</v>
      </c>
      <c r="H15" s="79"/>
      <c r="I15" s="80"/>
      <c r="J15" s="81"/>
      <c r="K15" s="81"/>
      <c r="L15" s="81"/>
      <c r="M15" s="81"/>
      <c r="N15" s="81"/>
      <c r="O15" s="81"/>
      <c r="P15" s="65" t="s">
        <v>102</v>
      </c>
      <c r="Q15" s="81"/>
      <c r="R15" s="65" t="s">
        <v>102</v>
      </c>
      <c r="S15" s="81"/>
      <c r="T15" s="81"/>
      <c r="U15" s="81"/>
      <c r="V15" s="65" t="s">
        <v>102</v>
      </c>
      <c r="W15" s="65" t="s">
        <v>102</v>
      </c>
      <c r="X15" s="81"/>
      <c r="Y15" s="65" t="s">
        <v>102</v>
      </c>
      <c r="Z15" s="81"/>
      <c r="AA15" s="81"/>
      <c r="AB15" s="81"/>
      <c r="AC15" s="81"/>
      <c r="AD15" s="65" t="s">
        <v>102</v>
      </c>
      <c r="AE15" s="81"/>
      <c r="AF15" s="81"/>
      <c r="AG15" s="81"/>
      <c r="AH15" s="81"/>
      <c r="AI15" s="81"/>
      <c r="AJ15" s="81"/>
      <c r="AK15" s="81"/>
      <c r="AL15" s="65" t="s">
        <v>102</v>
      </c>
      <c r="AM15" s="81"/>
      <c r="AN15" s="65" t="s">
        <v>102</v>
      </c>
      <c r="AO15" s="65" t="s">
        <v>102</v>
      </c>
      <c r="AP15" s="65" t="s">
        <v>102</v>
      </c>
      <c r="AQ15" s="81"/>
      <c r="AR15" s="81"/>
      <c r="AS15" s="65" t="s">
        <v>102</v>
      </c>
      <c r="AT15" s="65"/>
      <c r="AU15" s="81"/>
      <c r="AV15" s="81"/>
      <c r="AW15" s="81"/>
      <c r="AX15" s="68">
        <f t="shared" si="3"/>
        <v>11</v>
      </c>
      <c r="AY15" s="69" t="str">
        <f t="shared" si="4"/>
        <v>Michael Trevett</v>
      </c>
    </row>
    <row r="16" spans="1:67 16384:16384" x14ac:dyDescent="0.2">
      <c r="A16" s="75" t="s">
        <v>115</v>
      </c>
      <c r="B16" s="75" t="s">
        <v>121</v>
      </c>
      <c r="C16" s="75" t="s">
        <v>122</v>
      </c>
      <c r="D16" s="75" t="s">
        <v>123</v>
      </c>
      <c r="E16" s="76" t="s">
        <v>119</v>
      </c>
      <c r="F16" s="77" t="s">
        <v>124</v>
      </c>
      <c r="G16" s="62">
        <f t="shared" si="2"/>
        <v>14</v>
      </c>
      <c r="H16" s="79"/>
      <c r="I16" s="80"/>
      <c r="J16" s="81"/>
      <c r="K16" t="s">
        <v>125</v>
      </c>
      <c r="L16" s="81"/>
      <c r="M16" s="81"/>
      <c r="N16" s="65" t="s">
        <v>102</v>
      </c>
      <c r="O16" s="81"/>
      <c r="P16" s="65" t="s">
        <v>102</v>
      </c>
      <c r="Q16" s="65" t="s">
        <v>102</v>
      </c>
      <c r="R16" s="65" t="s">
        <v>102</v>
      </c>
      <c r="S16" s="65" t="s">
        <v>102</v>
      </c>
      <c r="T16" s="65" t="s">
        <v>102</v>
      </c>
      <c r="U16" s="65" t="s">
        <v>102</v>
      </c>
      <c r="V16" s="81" t="s">
        <v>102</v>
      </c>
      <c r="W16" s="65" t="s">
        <v>102</v>
      </c>
      <c r="X16" s="81"/>
      <c r="Y16" s="81"/>
      <c r="Z16" s="81"/>
      <c r="AA16" s="65" t="s">
        <v>102</v>
      </c>
      <c r="AB16" s="81"/>
      <c r="AC16" s="81"/>
      <c r="AD16" s="81"/>
      <c r="AE16" s="65" t="s">
        <v>102</v>
      </c>
      <c r="AF16" s="81"/>
      <c r="AG16" s="81"/>
      <c r="AH16" s="65" t="s">
        <v>102</v>
      </c>
      <c r="AI16" s="81"/>
      <c r="AJ16" s="65" t="s">
        <v>102</v>
      </c>
      <c r="AK16" s="81"/>
      <c r="AL16" s="81"/>
      <c r="AM16" s="81"/>
      <c r="AN16" s="81"/>
      <c r="AO16" s="81"/>
      <c r="AP16" s="81" t="s">
        <v>102</v>
      </c>
      <c r="AQ16" s="81"/>
      <c r="AR16" s="81"/>
      <c r="AS16" s="81"/>
      <c r="AT16" s="81"/>
      <c r="AU16" s="81"/>
      <c r="AV16" s="81"/>
      <c r="AW16" s="81"/>
      <c r="AX16" s="68">
        <f t="shared" si="3"/>
        <v>14</v>
      </c>
      <c r="AY16" s="69" t="str">
        <f t="shared" si="4"/>
        <v>Simon Banham</v>
      </c>
    </row>
    <row r="17" spans="1:51" x14ac:dyDescent="0.2">
      <c r="A17" s="75" t="s">
        <v>115</v>
      </c>
      <c r="B17" s="75" t="s">
        <v>126</v>
      </c>
      <c r="C17" s="75" t="s">
        <v>127</v>
      </c>
      <c r="D17" s="75" t="s">
        <v>128</v>
      </c>
      <c r="E17" s="76" t="s">
        <v>119</v>
      </c>
      <c r="F17" s="77" t="s">
        <v>129</v>
      </c>
      <c r="G17" s="62">
        <f t="shared" si="2"/>
        <v>19</v>
      </c>
      <c r="H17" s="79"/>
      <c r="I17" s="64" t="s">
        <v>102</v>
      </c>
      <c r="J17" s="65" t="s">
        <v>130</v>
      </c>
      <c r="K17" s="81"/>
      <c r="L17" s="65" t="s">
        <v>102</v>
      </c>
      <c r="M17" s="65" t="s">
        <v>102</v>
      </c>
      <c r="N17" s="81"/>
      <c r="O17" s="65" t="s">
        <v>102</v>
      </c>
      <c r="P17" s="65" t="s">
        <v>102</v>
      </c>
      <c r="Q17" s="81"/>
      <c r="R17" s="65" t="s">
        <v>102</v>
      </c>
      <c r="S17" s="81"/>
      <c r="T17" s="81"/>
      <c r="U17" s="81"/>
      <c r="V17" s="81"/>
      <c r="W17" s="65" t="s">
        <v>102</v>
      </c>
      <c r="X17" s="65" t="s">
        <v>102</v>
      </c>
      <c r="Y17" s="81"/>
      <c r="Z17" s="65" t="s">
        <v>102</v>
      </c>
      <c r="AA17" s="81"/>
      <c r="AB17" s="65" t="s">
        <v>102</v>
      </c>
      <c r="AC17" s="65" t="s">
        <v>130</v>
      </c>
      <c r="AD17" s="81"/>
      <c r="AE17" s="81"/>
      <c r="AF17" s="81"/>
      <c r="AG17" s="65" t="s">
        <v>102</v>
      </c>
      <c r="AH17" s="82"/>
      <c r="AI17" s="65" t="s">
        <v>102</v>
      </c>
      <c r="AJ17" s="81"/>
      <c r="AK17" s="65" t="s">
        <v>102</v>
      </c>
      <c r="AL17" s="81"/>
      <c r="AM17" s="65" t="s">
        <v>102</v>
      </c>
      <c r="AN17" s="81"/>
      <c r="AO17" s="81"/>
      <c r="AP17" s="81"/>
      <c r="AQ17" s="65" t="s">
        <v>102</v>
      </c>
      <c r="AR17" s="65" t="s">
        <v>102</v>
      </c>
      <c r="AS17" s="81"/>
      <c r="AT17" s="81"/>
      <c r="AU17" s="65" t="s">
        <v>102</v>
      </c>
      <c r="AV17" s="65" t="s">
        <v>102</v>
      </c>
      <c r="AW17" s="65" t="s">
        <v>102</v>
      </c>
      <c r="AX17" s="68">
        <f t="shared" si="3"/>
        <v>19</v>
      </c>
      <c r="AY17" s="69" t="str">
        <f t="shared" si="4"/>
        <v>Adrian Fretter</v>
      </c>
    </row>
    <row r="18" spans="1:51" x14ac:dyDescent="0.2">
      <c r="A18" s="75" t="s">
        <v>131</v>
      </c>
      <c r="B18" s="75" t="s">
        <v>132</v>
      </c>
      <c r="C18" s="75" t="s">
        <v>133</v>
      </c>
      <c r="D18" s="75" t="s">
        <v>134</v>
      </c>
      <c r="E18" s="76" t="s">
        <v>135</v>
      </c>
      <c r="F18" s="128" t="s">
        <v>336</v>
      </c>
      <c r="G18" s="62">
        <f t="shared" si="2"/>
        <v>3</v>
      </c>
      <c r="H18" s="79"/>
      <c r="I18" s="80"/>
      <c r="J18" s="81"/>
      <c r="K18" s="81"/>
      <c r="L18" s="81"/>
      <c r="M18" s="81"/>
      <c r="N18" s="81"/>
      <c r="O18" s="81"/>
      <c r="P18" s="65" t="s">
        <v>102</v>
      </c>
      <c r="Q18" s="81"/>
      <c r="R18" s="65" t="s">
        <v>102</v>
      </c>
      <c r="S18" s="81"/>
      <c r="T18" s="81"/>
      <c r="U18" s="81"/>
      <c r="V18" s="81"/>
      <c r="W18" s="65" t="s">
        <v>102</v>
      </c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2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68">
        <f t="shared" si="3"/>
        <v>3</v>
      </c>
      <c r="AY18" s="69" t="str">
        <f t="shared" si="4"/>
        <v>David Ryan</v>
      </c>
    </row>
    <row r="19" spans="1:51" x14ac:dyDescent="0.2">
      <c r="A19" s="75" t="s">
        <v>136</v>
      </c>
      <c r="B19" s="75" t="s">
        <v>137</v>
      </c>
      <c r="C19" s="75" t="s">
        <v>112</v>
      </c>
      <c r="D19" s="75" t="s">
        <v>138</v>
      </c>
      <c r="E19" s="76" t="s">
        <v>139</v>
      </c>
      <c r="F19" s="77" t="s">
        <v>140</v>
      </c>
      <c r="G19" s="62">
        <f t="shared" si="2"/>
        <v>15</v>
      </c>
      <c r="H19" s="79"/>
      <c r="I19" s="80"/>
      <c r="J19" s="81"/>
      <c r="K19" s="81"/>
      <c r="L19" s="66" t="s">
        <v>102</v>
      </c>
      <c r="M19" s="81"/>
      <c r="N19" s="81"/>
      <c r="O19" s="81"/>
      <c r="P19" s="65" t="s">
        <v>102</v>
      </c>
      <c r="Q19" s="66" t="s">
        <v>102</v>
      </c>
      <c r="R19" s="65" t="s">
        <v>102</v>
      </c>
      <c r="S19" s="81"/>
      <c r="T19" s="81"/>
      <c r="U19" s="81"/>
      <c r="V19" s="81"/>
      <c r="W19" s="65" t="s">
        <v>102</v>
      </c>
      <c r="X19" s="24" t="s">
        <v>102</v>
      </c>
      <c r="Y19" s="81"/>
      <c r="Z19" s="81" t="s">
        <v>130</v>
      </c>
      <c r="AA19" s="81"/>
      <c r="AB19" s="81"/>
      <c r="AC19" s="81"/>
      <c r="AD19" s="81" t="s">
        <v>102</v>
      </c>
      <c r="AE19" s="81" t="s">
        <v>102</v>
      </c>
      <c r="AF19" s="81"/>
      <c r="AG19" s="81"/>
      <c r="AH19" s="82"/>
      <c r="AI19" s="81"/>
      <c r="AJ19" s="24" t="s">
        <v>102</v>
      </c>
      <c r="AK19" s="81"/>
      <c r="AL19" s="24" t="s">
        <v>102</v>
      </c>
      <c r="AM19" s="81"/>
      <c r="AN19" s="66" t="s">
        <v>102</v>
      </c>
      <c r="AO19" s="81"/>
      <c r="AP19" s="81"/>
      <c r="AQ19" s="81"/>
      <c r="AR19" s="81"/>
      <c r="AS19" s="81"/>
      <c r="AT19" s="24" t="s">
        <v>102</v>
      </c>
      <c r="AU19" s="66" t="s">
        <v>102</v>
      </c>
      <c r="AV19" s="81" t="s">
        <v>102</v>
      </c>
      <c r="AW19" s="24" t="s">
        <v>102</v>
      </c>
      <c r="AX19" s="68">
        <f t="shared" si="3"/>
        <v>15</v>
      </c>
      <c r="AY19" s="69" t="str">
        <f t="shared" si="4"/>
        <v>Mark  Green</v>
      </c>
    </row>
    <row r="20" spans="1:51" x14ac:dyDescent="0.2">
      <c r="A20" s="75" t="s">
        <v>141</v>
      </c>
      <c r="B20" s="75" t="s">
        <v>142</v>
      </c>
      <c r="C20" s="75" t="s">
        <v>143</v>
      </c>
      <c r="D20" s="75" t="s">
        <v>144</v>
      </c>
      <c r="E20" s="76" t="s">
        <v>145</v>
      </c>
      <c r="F20" s="77" t="s">
        <v>146</v>
      </c>
      <c r="G20" s="78">
        <f t="shared" si="2"/>
        <v>14</v>
      </c>
      <c r="H20" s="79"/>
      <c r="I20" s="80" t="s">
        <v>102</v>
      </c>
      <c r="J20" s="81" t="s">
        <v>102</v>
      </c>
      <c r="K20" s="81"/>
      <c r="L20" s="81"/>
      <c r="M20" s="81"/>
      <c r="N20" s="81"/>
      <c r="O20" s="81"/>
      <c r="P20" s="65" t="s">
        <v>102</v>
      </c>
      <c r="Q20" s="81"/>
      <c r="R20" s="65"/>
      <c r="S20" s="81"/>
      <c r="T20" s="81"/>
      <c r="U20" s="81"/>
      <c r="V20" s="81"/>
      <c r="W20" s="65" t="s">
        <v>102</v>
      </c>
      <c r="X20" s="81" t="s">
        <v>102</v>
      </c>
      <c r="Y20" s="81"/>
      <c r="Z20" s="81"/>
      <c r="AA20" s="81" t="s">
        <v>102</v>
      </c>
      <c r="AB20" s="81"/>
      <c r="AC20" s="81"/>
      <c r="AD20" s="81"/>
      <c r="AE20" s="81"/>
      <c r="AF20" s="81"/>
      <c r="AG20" s="81" t="s">
        <v>102</v>
      </c>
      <c r="AH20" s="81"/>
      <c r="AI20" s="81" t="s">
        <v>102</v>
      </c>
      <c r="AJ20" s="81"/>
      <c r="AK20" s="81" t="s">
        <v>102</v>
      </c>
      <c r="AL20" s="81" t="s">
        <v>102</v>
      </c>
      <c r="AM20" s="81"/>
      <c r="AN20" s="81"/>
      <c r="AO20" s="81"/>
      <c r="AP20" s="81" t="s">
        <v>102</v>
      </c>
      <c r="AQ20" s="81" t="s">
        <v>102</v>
      </c>
      <c r="AR20" s="81" t="s">
        <v>102</v>
      </c>
      <c r="AS20" s="81"/>
      <c r="AT20" s="81"/>
      <c r="AU20" s="81"/>
      <c r="AV20" s="81"/>
      <c r="AW20" s="81" t="s">
        <v>102</v>
      </c>
      <c r="AX20" s="68">
        <f t="shared" si="3"/>
        <v>14</v>
      </c>
      <c r="AY20" s="69" t="str">
        <f t="shared" si="4"/>
        <v>Anthony Denton</v>
      </c>
    </row>
    <row r="21" spans="1:51" x14ac:dyDescent="0.2">
      <c r="A21" s="75" t="s">
        <v>147</v>
      </c>
      <c r="B21" s="75" t="s">
        <v>148</v>
      </c>
      <c r="C21" s="75" t="s">
        <v>149</v>
      </c>
      <c r="D21" s="75" t="s">
        <v>150</v>
      </c>
      <c r="E21" s="76" t="s">
        <v>151</v>
      </c>
      <c r="F21" s="77" t="s">
        <v>152</v>
      </c>
      <c r="G21" s="62">
        <f t="shared" si="2"/>
        <v>13</v>
      </c>
      <c r="H21" s="79"/>
      <c r="I21" s="80"/>
      <c r="J21" s="81"/>
      <c r="K21" s="81"/>
      <c r="L21" s="81"/>
      <c r="M21" s="81" t="s">
        <v>102</v>
      </c>
      <c r="N21" s="81"/>
      <c r="O21" s="81"/>
      <c r="P21" s="65" t="s">
        <v>102</v>
      </c>
      <c r="Q21" s="81"/>
      <c r="R21" s="65" t="s">
        <v>102</v>
      </c>
      <c r="S21" s="81"/>
      <c r="T21" s="81"/>
      <c r="U21" s="81" t="s">
        <v>130</v>
      </c>
      <c r="V21" s="81" t="s">
        <v>102</v>
      </c>
      <c r="W21" s="65" t="s">
        <v>102</v>
      </c>
      <c r="X21" s="81"/>
      <c r="Y21" s="81" t="s">
        <v>102</v>
      </c>
      <c r="Z21" s="81"/>
      <c r="AA21" s="81"/>
      <c r="AB21" s="81" t="s">
        <v>102</v>
      </c>
      <c r="AC21" s="81"/>
      <c r="AD21" s="81"/>
      <c r="AE21" s="81"/>
      <c r="AF21" s="81"/>
      <c r="AG21" s="81"/>
      <c r="AH21" s="82"/>
      <c r="AI21" s="81"/>
      <c r="AJ21" s="81" t="s">
        <v>102</v>
      </c>
      <c r="AK21" s="81"/>
      <c r="AL21" s="24" t="s">
        <v>102</v>
      </c>
      <c r="AM21" s="81" t="s">
        <v>102</v>
      </c>
      <c r="AN21" s="81"/>
      <c r="AO21" s="81"/>
      <c r="AP21" s="24" t="s">
        <v>102</v>
      </c>
      <c r="AQ21" s="81"/>
      <c r="AR21" s="81"/>
      <c r="AS21" s="81" t="s">
        <v>102</v>
      </c>
      <c r="AT21" s="24" t="s">
        <v>102</v>
      </c>
      <c r="AU21" s="81"/>
      <c r="AV21" s="81"/>
      <c r="AW21" s="81"/>
      <c r="AX21" s="68">
        <f t="shared" si="3"/>
        <v>13</v>
      </c>
      <c r="AY21" s="69" t="str">
        <f t="shared" si="4"/>
        <v>Ronald Griffiths</v>
      </c>
    </row>
    <row r="22" spans="1:51" x14ac:dyDescent="0.2">
      <c r="A22" s="75" t="s">
        <v>153</v>
      </c>
      <c r="B22" s="75" t="s">
        <v>154</v>
      </c>
      <c r="C22" s="75" t="s">
        <v>117</v>
      </c>
      <c r="D22" s="75" t="s">
        <v>155</v>
      </c>
      <c r="E22" s="76" t="s">
        <v>156</v>
      </c>
      <c r="F22" s="77" t="s">
        <v>157</v>
      </c>
      <c r="G22" s="62">
        <f t="shared" si="2"/>
        <v>15</v>
      </c>
      <c r="H22" s="79"/>
      <c r="I22" s="64" t="s">
        <v>102</v>
      </c>
      <c r="J22" s="81"/>
      <c r="K22" s="81"/>
      <c r="L22" s="81"/>
      <c r="M22" s="81"/>
      <c r="N22" s="83" t="s">
        <v>102</v>
      </c>
      <c r="O22" s="83" t="s">
        <v>102</v>
      </c>
      <c r="P22" s="83" t="s">
        <v>102</v>
      </c>
      <c r="Q22" s="84" t="s">
        <v>102</v>
      </c>
      <c r="R22" s="83" t="s">
        <v>102</v>
      </c>
      <c r="S22" s="81"/>
      <c r="T22" s="81"/>
      <c r="U22" s="81"/>
      <c r="V22" s="81"/>
      <c r="W22" s="83" t="s">
        <v>102</v>
      </c>
      <c r="X22" s="81"/>
      <c r="Y22" s="83" t="s">
        <v>102</v>
      </c>
      <c r="Z22" s="81"/>
      <c r="AA22" s="83" t="s">
        <v>102</v>
      </c>
      <c r="AB22" s="81"/>
      <c r="AC22" s="81"/>
      <c r="AD22" s="83" t="s">
        <v>102</v>
      </c>
      <c r="AE22" s="81"/>
      <c r="AF22" s="81"/>
      <c r="AG22" s="81"/>
      <c r="AH22" s="82"/>
      <c r="AI22" s="81"/>
      <c r="AJ22" s="83" t="s">
        <v>102</v>
      </c>
      <c r="AK22" s="85" t="s">
        <v>102</v>
      </c>
      <c r="AL22" s="81"/>
      <c r="AM22" s="83" t="s">
        <v>102</v>
      </c>
      <c r="AN22" s="81"/>
      <c r="AO22" s="81"/>
      <c r="AP22" s="83" t="s">
        <v>102</v>
      </c>
      <c r="AQ22" s="83" t="s">
        <v>102</v>
      </c>
      <c r="AR22" s="81"/>
      <c r="AS22" s="81"/>
      <c r="AT22" s="81"/>
      <c r="AU22" s="81"/>
      <c r="AV22" s="81"/>
      <c r="AW22" s="81"/>
      <c r="AX22" s="68">
        <f t="shared" si="3"/>
        <v>15</v>
      </c>
      <c r="AY22" s="69" t="str">
        <f t="shared" si="4"/>
        <v>Michael Ingram</v>
      </c>
    </row>
    <row r="23" spans="1:51" x14ac:dyDescent="0.2">
      <c r="A23" s="75" t="s">
        <v>158</v>
      </c>
      <c r="B23" s="75" t="s">
        <v>159</v>
      </c>
      <c r="C23" s="75" t="s">
        <v>160</v>
      </c>
      <c r="D23" s="75" t="s">
        <v>161</v>
      </c>
      <c r="E23" s="76" t="s">
        <v>162</v>
      </c>
      <c r="F23" s="77" t="s">
        <v>163</v>
      </c>
      <c r="G23" s="62">
        <f t="shared" si="2"/>
        <v>18</v>
      </c>
      <c r="H23" s="79"/>
      <c r="I23" s="80"/>
      <c r="J23" s="81"/>
      <c r="K23" s="81"/>
      <c r="L23" s="81"/>
      <c r="M23" s="81"/>
      <c r="N23" s="86" t="s">
        <v>102</v>
      </c>
      <c r="O23" s="87" t="s">
        <v>102</v>
      </c>
      <c r="P23" s="86" t="s">
        <v>102</v>
      </c>
      <c r="Q23" s="81"/>
      <c r="R23" s="65" t="s">
        <v>102</v>
      </c>
      <c r="S23" s="81"/>
      <c r="T23" s="81"/>
      <c r="U23" s="81"/>
      <c r="V23" s="81" t="s">
        <v>102</v>
      </c>
      <c r="W23" s="86" t="s">
        <v>102</v>
      </c>
      <c r="X23" s="81"/>
      <c r="Y23" s="81" t="s">
        <v>102</v>
      </c>
      <c r="Z23" s="81"/>
      <c r="AA23" s="86" t="s">
        <v>102</v>
      </c>
      <c r="AB23" s="81"/>
      <c r="AC23" s="81" t="s">
        <v>102</v>
      </c>
      <c r="AD23" s="88" t="s">
        <v>102</v>
      </c>
      <c r="AE23" s="81" t="s">
        <v>102</v>
      </c>
      <c r="AF23" s="81"/>
      <c r="AG23" s="81" t="s">
        <v>102</v>
      </c>
      <c r="AH23" s="82"/>
      <c r="AI23" s="81"/>
      <c r="AJ23" s="86" t="s">
        <v>102</v>
      </c>
      <c r="AK23" s="81" t="s">
        <v>102</v>
      </c>
      <c r="AL23" s="81" t="s">
        <v>102</v>
      </c>
      <c r="AN23" s="81"/>
      <c r="AO23" s="81"/>
      <c r="AP23" s="86" t="s">
        <v>102</v>
      </c>
      <c r="AQ23" s="81"/>
      <c r="AR23" s="81" t="s">
        <v>102</v>
      </c>
      <c r="AS23" s="81"/>
      <c r="AT23" s="81" t="s">
        <v>102</v>
      </c>
      <c r="AU23" s="81"/>
      <c r="AV23" s="81"/>
      <c r="AW23" s="81"/>
      <c r="AX23" s="68">
        <f t="shared" si="3"/>
        <v>18</v>
      </c>
      <c r="AY23" s="69" t="str">
        <f t="shared" si="4"/>
        <v>Maurice Doe</v>
      </c>
    </row>
    <row r="24" spans="1:51" x14ac:dyDescent="0.2">
      <c r="A24" s="75" t="s">
        <v>164</v>
      </c>
      <c r="B24" s="75" t="s">
        <v>165</v>
      </c>
      <c r="C24" s="75" t="s">
        <v>166</v>
      </c>
      <c r="D24" s="75" t="s">
        <v>167</v>
      </c>
      <c r="E24" s="76" t="s">
        <v>168</v>
      </c>
      <c r="F24" s="77" t="s">
        <v>169</v>
      </c>
      <c r="G24" s="62">
        <f t="shared" si="2"/>
        <v>10</v>
      </c>
      <c r="H24" s="79"/>
      <c r="I24" s="80" t="s">
        <v>102</v>
      </c>
      <c r="J24" s="81"/>
      <c r="K24" s="81"/>
      <c r="L24" s="81"/>
      <c r="M24" s="81"/>
      <c r="N24" s="81"/>
      <c r="O24" s="81" t="s">
        <v>130</v>
      </c>
      <c r="P24" s="65" t="s">
        <v>102</v>
      </c>
      <c r="Q24" s="81"/>
      <c r="R24" s="65" t="s">
        <v>130</v>
      </c>
      <c r="S24" s="81"/>
      <c r="T24" s="81" t="s">
        <v>102</v>
      </c>
      <c r="U24" s="81"/>
      <c r="V24" s="81"/>
      <c r="W24" s="65" t="s">
        <v>102</v>
      </c>
      <c r="X24" s="81"/>
      <c r="Y24" s="81" t="s">
        <v>102</v>
      </c>
      <c r="Z24" s="81"/>
      <c r="AA24" s="81"/>
      <c r="AB24" s="81"/>
      <c r="AC24" s="81" t="s">
        <v>102</v>
      </c>
      <c r="AD24" s="81"/>
      <c r="AE24" s="81" t="s">
        <v>102</v>
      </c>
      <c r="AF24" s="81"/>
      <c r="AG24" s="81"/>
      <c r="AH24" s="82" t="s">
        <v>102</v>
      </c>
      <c r="AI24" s="81"/>
      <c r="AJ24" s="81"/>
      <c r="AK24" s="81"/>
      <c r="AL24" s="81" t="s">
        <v>102</v>
      </c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 t="s">
        <v>102</v>
      </c>
      <c r="AX24" s="68">
        <f t="shared" si="3"/>
        <v>10</v>
      </c>
      <c r="AY24" s="69" t="str">
        <f t="shared" si="4"/>
        <v>John Saulet</v>
      </c>
    </row>
    <row r="25" spans="1:51" x14ac:dyDescent="0.2">
      <c r="A25" s="89" t="s">
        <v>170</v>
      </c>
      <c r="B25" s="89" t="s">
        <v>171</v>
      </c>
      <c r="C25" s="89" t="s">
        <v>172</v>
      </c>
      <c r="D25" s="89" t="s">
        <v>173</v>
      </c>
      <c r="E25" s="90" t="s">
        <v>174</v>
      </c>
      <c r="F25" s="77" t="s">
        <v>175</v>
      </c>
      <c r="G25" s="91">
        <f t="shared" si="2"/>
        <v>3</v>
      </c>
      <c r="H25" s="92"/>
      <c r="I25" s="80"/>
      <c r="J25" s="93"/>
      <c r="K25" s="93" t="s">
        <v>102</v>
      </c>
      <c r="L25" s="93"/>
      <c r="M25" s="93"/>
      <c r="N25" s="93" t="s">
        <v>102</v>
      </c>
      <c r="O25" s="93"/>
      <c r="P25" s="94" t="s">
        <v>130</v>
      </c>
      <c r="Q25" s="93"/>
      <c r="R25" s="94" t="s">
        <v>102</v>
      </c>
      <c r="S25" s="93"/>
      <c r="T25" s="93"/>
      <c r="U25" s="93"/>
      <c r="V25" s="93"/>
      <c r="W25" s="94" t="s">
        <v>130</v>
      </c>
      <c r="X25" s="93"/>
      <c r="Y25" s="93"/>
      <c r="Z25" s="93"/>
      <c r="AA25" s="94" t="s">
        <v>130</v>
      </c>
      <c r="AB25" s="93"/>
      <c r="AC25" s="93"/>
      <c r="AD25" s="94" t="s">
        <v>130</v>
      </c>
      <c r="AE25" s="93"/>
      <c r="AF25" s="93"/>
      <c r="AG25" s="93"/>
      <c r="AH25" s="93"/>
      <c r="AI25" s="93"/>
      <c r="AJ25" s="94" t="s">
        <v>130</v>
      </c>
      <c r="AK25" s="94" t="s">
        <v>130</v>
      </c>
      <c r="AL25" s="94" t="s">
        <v>130</v>
      </c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5">
        <f t="shared" si="3"/>
        <v>3</v>
      </c>
      <c r="AY25" s="96" t="str">
        <f t="shared" si="4"/>
        <v>Stephen Slade</v>
      </c>
    </row>
    <row r="26" spans="1:51" x14ac:dyDescent="0.2">
      <c r="A26" s="75" t="s">
        <v>176</v>
      </c>
      <c r="B26" s="75" t="s">
        <v>177</v>
      </c>
      <c r="C26" s="75" t="s">
        <v>104</v>
      </c>
      <c r="D26" s="75" t="s">
        <v>178</v>
      </c>
      <c r="E26" s="76" t="s">
        <v>179</v>
      </c>
      <c r="F26" s="77" t="s">
        <v>180</v>
      </c>
      <c r="G26" s="62">
        <f t="shared" si="2"/>
        <v>14</v>
      </c>
      <c r="H26" s="79"/>
      <c r="I26" s="80"/>
      <c r="J26" s="81"/>
      <c r="K26" s="83" t="s">
        <v>102</v>
      </c>
      <c r="L26" s="81"/>
      <c r="M26" s="83" t="s">
        <v>102</v>
      </c>
      <c r="N26" s="81"/>
      <c r="O26" s="81"/>
      <c r="P26" s="65" t="s">
        <v>102</v>
      </c>
      <c r="Q26" s="65" t="s">
        <v>102</v>
      </c>
      <c r="R26" s="65" t="s">
        <v>102</v>
      </c>
      <c r="S26" s="81"/>
      <c r="T26" s="83" t="s">
        <v>102</v>
      </c>
      <c r="U26" s="81"/>
      <c r="V26" s="85" t="s">
        <v>102</v>
      </c>
      <c r="W26" s="65" t="s">
        <v>102</v>
      </c>
      <c r="X26" s="81"/>
      <c r="Y26" s="81"/>
      <c r="Z26" s="83" t="s">
        <v>102</v>
      </c>
      <c r="AA26" s="81"/>
      <c r="AB26" s="81"/>
      <c r="AC26" s="81"/>
      <c r="AD26" s="81"/>
      <c r="AE26" s="83" t="s">
        <v>102</v>
      </c>
      <c r="AF26" s="81"/>
      <c r="AG26" s="81"/>
      <c r="AH26" s="83" t="s">
        <v>102</v>
      </c>
      <c r="AI26" s="81"/>
      <c r="AJ26" s="81"/>
      <c r="AK26" s="81"/>
      <c r="AL26" s="81"/>
      <c r="AM26" s="81"/>
      <c r="AN26" s="81"/>
      <c r="AO26" s="81"/>
      <c r="AP26" s="81"/>
      <c r="AR26" s="65" t="s">
        <v>102</v>
      </c>
      <c r="AS26" s="81"/>
      <c r="AT26" s="65" t="s">
        <v>102</v>
      </c>
      <c r="AU26" s="81"/>
      <c r="AV26" s="81"/>
      <c r="AW26" s="83" t="s">
        <v>102</v>
      </c>
      <c r="AX26" s="68">
        <f t="shared" si="3"/>
        <v>14</v>
      </c>
      <c r="AY26" s="69" t="str">
        <f t="shared" si="4"/>
        <v>James Child</v>
      </c>
    </row>
    <row r="27" spans="1:51" x14ac:dyDescent="0.2">
      <c r="A27" s="75" t="s">
        <v>176</v>
      </c>
      <c r="B27" s="75" t="s">
        <v>181</v>
      </c>
      <c r="C27" s="75" t="s">
        <v>143</v>
      </c>
      <c r="D27" s="75" t="s">
        <v>182</v>
      </c>
      <c r="E27" s="76" t="s">
        <v>179</v>
      </c>
      <c r="F27" s="77" t="s">
        <v>183</v>
      </c>
      <c r="G27" s="62">
        <f t="shared" si="2"/>
        <v>16</v>
      </c>
      <c r="H27" s="79"/>
      <c r="I27" s="80"/>
      <c r="J27" s="83" t="s">
        <v>102</v>
      </c>
      <c r="K27" s="81"/>
      <c r="L27" s="85" t="s">
        <v>102</v>
      </c>
      <c r="M27" s="81"/>
      <c r="N27" s="81"/>
      <c r="O27" s="85" t="s">
        <v>102</v>
      </c>
      <c r="P27" s="65" t="s">
        <v>102</v>
      </c>
      <c r="Q27" s="81"/>
      <c r="R27" s="65" t="s">
        <v>102</v>
      </c>
      <c r="S27" s="83" t="s">
        <v>102</v>
      </c>
      <c r="T27" s="81"/>
      <c r="U27" s="81"/>
      <c r="V27" s="81"/>
      <c r="W27" s="65" t="s">
        <v>102</v>
      </c>
      <c r="X27" s="83" t="s">
        <v>102</v>
      </c>
      <c r="Y27" s="81"/>
      <c r="Z27" s="81"/>
      <c r="AA27" s="81"/>
      <c r="AB27" s="84" t="s">
        <v>102</v>
      </c>
      <c r="AC27" s="83" t="s">
        <v>102</v>
      </c>
      <c r="AD27" s="81"/>
      <c r="AE27" s="81"/>
      <c r="AF27" s="81"/>
      <c r="AG27" s="85" t="s">
        <v>102</v>
      </c>
      <c r="AH27" s="82"/>
      <c r="AI27"/>
      <c r="AJ27" s="81"/>
      <c r="AK27" s="81" t="s">
        <v>102</v>
      </c>
      <c r="AL27" s="81"/>
      <c r="AM27" s="81" t="s">
        <v>102</v>
      </c>
      <c r="AN27" s="81"/>
      <c r="AO27" s="81"/>
      <c r="AP27" s="81"/>
      <c r="AQ27" s="88" t="s">
        <v>102</v>
      </c>
      <c r="AR27" s="85" t="s">
        <v>102</v>
      </c>
      <c r="AS27" s="81"/>
      <c r="AT27" s="81"/>
      <c r="AU27" s="81"/>
      <c r="AV27" s="83" t="s">
        <v>102</v>
      </c>
      <c r="AW27" s="81"/>
      <c r="AX27" s="68">
        <f t="shared" si="3"/>
        <v>16</v>
      </c>
      <c r="AY27" s="69" t="str">
        <f t="shared" si="4"/>
        <v>Anthony Latter</v>
      </c>
    </row>
    <row r="28" spans="1:51" x14ac:dyDescent="0.2">
      <c r="A28" s="75" t="s">
        <v>176</v>
      </c>
      <c r="B28" s="75" t="s">
        <v>184</v>
      </c>
      <c r="C28" s="75" t="s">
        <v>185</v>
      </c>
      <c r="D28" s="75" t="s">
        <v>186</v>
      </c>
      <c r="E28" s="76" t="s">
        <v>179</v>
      </c>
      <c r="F28" s="77" t="s">
        <v>187</v>
      </c>
      <c r="G28" s="62">
        <f t="shared" si="2"/>
        <v>17</v>
      </c>
      <c r="H28" s="79"/>
      <c r="I28" s="64" t="s">
        <v>102</v>
      </c>
      <c r="J28" s="85" t="s">
        <v>102</v>
      </c>
      <c r="K28" s="24" t="s">
        <v>102</v>
      </c>
      <c r="L28" s="83" t="s">
        <v>102</v>
      </c>
      <c r="M28" s="81"/>
      <c r="N28" s="85" t="s">
        <v>102</v>
      </c>
      <c r="O28" s="81" t="s">
        <v>102</v>
      </c>
      <c r="P28" s="65" t="s">
        <v>102</v>
      </c>
      <c r="Q28" s="85" t="s">
        <v>102</v>
      </c>
      <c r="R28" s="65" t="s">
        <v>130</v>
      </c>
      <c r="S28" s="81"/>
      <c r="T28" s="81"/>
      <c r="U28" s="83" t="s">
        <v>102</v>
      </c>
      <c r="V28" s="83" t="s">
        <v>102</v>
      </c>
      <c r="W28" s="65" t="s">
        <v>102</v>
      </c>
      <c r="X28" s="81"/>
      <c r="Y28" s="85" t="s">
        <v>102</v>
      </c>
      <c r="Z28" s="81"/>
      <c r="AA28" s="81"/>
      <c r="AB28" s="81"/>
      <c r="AC28" s="81"/>
      <c r="AD28" s="81"/>
      <c r="AE28" s="81" t="s">
        <v>102</v>
      </c>
      <c r="AF28" s="83" t="s">
        <v>102</v>
      </c>
      <c r="AG28" s="81"/>
      <c r="AH28" s="82"/>
      <c r="AI28" s="85" t="s">
        <v>102</v>
      </c>
      <c r="AJ28" s="81"/>
      <c r="AK28" s="81"/>
      <c r="AL28" s="81"/>
      <c r="AM28" s="88"/>
      <c r="AN28" s="85" t="s">
        <v>102</v>
      </c>
      <c r="AO28" s="81"/>
      <c r="AP28" s="81"/>
      <c r="AQ28" s="81"/>
      <c r="AR28" s="88"/>
      <c r="AS28" s="83" t="s">
        <v>102</v>
      </c>
      <c r="AT28" s="81"/>
      <c r="AU28" s="81"/>
      <c r="AV28" s="81"/>
      <c r="AW28" s="81"/>
      <c r="AX28" s="68">
        <f t="shared" si="3"/>
        <v>17</v>
      </c>
      <c r="AY28" s="69" t="str">
        <f t="shared" si="4"/>
        <v>Christopher Wolohan</v>
      </c>
    </row>
    <row r="29" spans="1:51" x14ac:dyDescent="0.2">
      <c r="A29" s="75" t="s">
        <v>188</v>
      </c>
      <c r="B29" s="75" t="s">
        <v>189</v>
      </c>
      <c r="C29" s="75" t="s">
        <v>189</v>
      </c>
      <c r="D29" s="75" t="s">
        <v>190</v>
      </c>
      <c r="E29" s="76" t="s">
        <v>191</v>
      </c>
      <c r="F29" s="77" t="s">
        <v>192</v>
      </c>
      <c r="G29" s="62">
        <f t="shared" si="2"/>
        <v>14</v>
      </c>
      <c r="H29" s="79"/>
      <c r="I29" s="80"/>
      <c r="J29" s="81"/>
      <c r="K29" s="81"/>
      <c r="L29" s="81"/>
      <c r="M29" s="81"/>
      <c r="N29" s="81"/>
      <c r="O29" s="86" t="s">
        <v>102</v>
      </c>
      <c r="P29" s="65" t="s">
        <v>102</v>
      </c>
      <c r="Q29" s="81"/>
      <c r="R29" s="97" t="s">
        <v>130</v>
      </c>
      <c r="S29" s="81"/>
      <c r="T29" s="81" t="s">
        <v>102</v>
      </c>
      <c r="U29" s="81"/>
      <c r="V29" s="81"/>
      <c r="W29" s="97" t="s">
        <v>102</v>
      </c>
      <c r="X29" s="81"/>
      <c r="Y29" s="86" t="s">
        <v>102</v>
      </c>
      <c r="Z29" s="81" t="s">
        <v>102</v>
      </c>
      <c r="AA29" s="81"/>
      <c r="AB29" s="81"/>
      <c r="AC29" s="65"/>
      <c r="AD29" s="86" t="s">
        <v>102</v>
      </c>
      <c r="AE29" s="81"/>
      <c r="AF29" s="81" t="s">
        <v>102</v>
      </c>
      <c r="AG29" s="81"/>
      <c r="AH29" s="82" t="s">
        <v>102</v>
      </c>
      <c r="AI29" s="81"/>
      <c r="AJ29" s="65"/>
      <c r="AK29" s="81" t="s">
        <v>102</v>
      </c>
      <c r="AL29" s="81"/>
      <c r="AM29" s="98" t="s">
        <v>102</v>
      </c>
      <c r="AN29" s="81"/>
      <c r="AO29" s="81"/>
      <c r="AQ29" s="86" t="s">
        <v>102</v>
      </c>
      <c r="AR29" s="81"/>
      <c r="AS29" s="81"/>
      <c r="AT29" s="81"/>
      <c r="AU29" s="24" t="s">
        <v>102</v>
      </c>
      <c r="AV29" s="81"/>
      <c r="AW29" s="81" t="s">
        <v>102</v>
      </c>
      <c r="AX29" s="68">
        <f t="shared" si="3"/>
        <v>14</v>
      </c>
      <c r="AY29" s="69" t="str">
        <f t="shared" si="4"/>
        <v>Paul Hitchcock</v>
      </c>
    </row>
    <row r="30" spans="1:51" x14ac:dyDescent="0.2">
      <c r="A30" s="75" t="s">
        <v>193</v>
      </c>
      <c r="B30" s="75" t="s">
        <v>194</v>
      </c>
      <c r="C30" s="75" t="s">
        <v>195</v>
      </c>
      <c r="D30" s="75" t="s">
        <v>196</v>
      </c>
      <c r="E30" s="76" t="s">
        <v>197</v>
      </c>
      <c r="F30" s="77" t="s">
        <v>198</v>
      </c>
      <c r="G30" s="62">
        <f t="shared" si="2"/>
        <v>11</v>
      </c>
      <c r="H30" s="79"/>
      <c r="I30" s="80"/>
      <c r="J30" s="81"/>
      <c r="K30" s="81" t="s">
        <v>102</v>
      </c>
      <c r="L30" s="81"/>
      <c r="M30" s="81"/>
      <c r="N30" s="81" t="s">
        <v>102</v>
      </c>
      <c r="O30" s="81"/>
      <c r="P30" s="65" t="s">
        <v>102</v>
      </c>
      <c r="Q30" s="81"/>
      <c r="R30" s="65" t="s">
        <v>102</v>
      </c>
      <c r="S30" s="81"/>
      <c r="T30" s="81"/>
      <c r="U30" s="81"/>
      <c r="V30" s="81" t="s">
        <v>102</v>
      </c>
      <c r="W30" s="65" t="s">
        <v>102</v>
      </c>
      <c r="X30" s="81"/>
      <c r="Y30" s="81"/>
      <c r="Z30" s="81"/>
      <c r="AA30" s="81" t="s">
        <v>102</v>
      </c>
      <c r="AB30" s="81"/>
      <c r="AC30" s="81"/>
      <c r="AD30" s="81" t="s">
        <v>102</v>
      </c>
      <c r="AE30" s="81"/>
      <c r="AF30" s="81"/>
      <c r="AG30" s="81"/>
      <c r="AH30" s="82"/>
      <c r="AI30" s="81"/>
      <c r="AJ30" s="81"/>
      <c r="AK30" s="81" t="s">
        <v>102</v>
      </c>
      <c r="AL30" s="81"/>
      <c r="AM30" s="81" t="s">
        <v>102</v>
      </c>
      <c r="AN30" s="81"/>
      <c r="AO30" s="81"/>
      <c r="AP30" s="81"/>
      <c r="AQ30" s="81" t="s">
        <v>102</v>
      </c>
      <c r="AR30" s="81"/>
      <c r="AS30" s="81"/>
      <c r="AT30" s="81"/>
      <c r="AU30" s="81"/>
      <c r="AV30" s="81"/>
      <c r="AW30" s="81"/>
      <c r="AX30" s="68">
        <f t="shared" si="3"/>
        <v>11</v>
      </c>
      <c r="AY30" s="69" t="str">
        <f t="shared" si="4"/>
        <v>Malcolm Collier</v>
      </c>
    </row>
    <row r="31" spans="1:51" x14ac:dyDescent="0.2">
      <c r="A31" s="75" t="s">
        <v>199</v>
      </c>
      <c r="B31" s="75" t="s">
        <v>200</v>
      </c>
      <c r="C31" s="75" t="s">
        <v>133</v>
      </c>
      <c r="D31" s="75" t="s">
        <v>201</v>
      </c>
      <c r="E31" s="76" t="s">
        <v>202</v>
      </c>
      <c r="F31" s="77" t="s">
        <v>203</v>
      </c>
      <c r="G31" s="62">
        <f t="shared" si="2"/>
        <v>20</v>
      </c>
      <c r="H31" s="79"/>
      <c r="I31" s="80"/>
      <c r="J31" s="81" t="s">
        <v>102</v>
      </c>
      <c r="K31" s="81" t="s">
        <v>102</v>
      </c>
      <c r="L31" s="81"/>
      <c r="M31" s="24" t="s">
        <v>102</v>
      </c>
      <c r="N31" s="81"/>
      <c r="O31" s="81" t="s">
        <v>102</v>
      </c>
      <c r="P31" s="65" t="s">
        <v>102</v>
      </c>
      <c r="Q31" s="81"/>
      <c r="R31" s="65" t="s">
        <v>102</v>
      </c>
      <c r="S31" s="81"/>
      <c r="T31" s="81"/>
      <c r="U31" s="81"/>
      <c r="V31" s="81"/>
      <c r="W31" s="65" t="s">
        <v>102</v>
      </c>
      <c r="X31" s="81" t="s">
        <v>102</v>
      </c>
      <c r="Y31" s="81"/>
      <c r="Z31" s="81"/>
      <c r="AA31" s="81"/>
      <c r="AB31" s="81"/>
      <c r="AC31" s="81"/>
      <c r="AD31" s="81" t="s">
        <v>102</v>
      </c>
      <c r="AE31" s="81"/>
      <c r="AF31" s="81" t="s">
        <v>102</v>
      </c>
      <c r="AG31" s="81" t="s">
        <v>102</v>
      </c>
      <c r="AH31" s="82"/>
      <c r="AI31" s="81" t="s">
        <v>102</v>
      </c>
      <c r="AJ31" s="81"/>
      <c r="AK31" s="81" t="s">
        <v>102</v>
      </c>
      <c r="AL31" s="81"/>
      <c r="AM31" s="24" t="s">
        <v>102</v>
      </c>
      <c r="AN31" s="81"/>
      <c r="AO31" s="81"/>
      <c r="AP31" s="81"/>
      <c r="AQ31" s="81" t="s">
        <v>102</v>
      </c>
      <c r="AR31" s="24" t="s">
        <v>102</v>
      </c>
      <c r="AS31" s="24" t="s">
        <v>102</v>
      </c>
      <c r="AT31" s="24" t="s">
        <v>102</v>
      </c>
      <c r="AU31" s="81"/>
      <c r="AV31" s="81" t="s">
        <v>102</v>
      </c>
      <c r="AW31" s="24" t="s">
        <v>102</v>
      </c>
      <c r="AX31" s="68">
        <f t="shared" si="3"/>
        <v>20</v>
      </c>
      <c r="AY31" s="69" t="str">
        <f t="shared" si="4"/>
        <v>David Wood</v>
      </c>
    </row>
    <row r="32" spans="1:51" x14ac:dyDescent="0.2">
      <c r="A32" s="75" t="s">
        <v>204</v>
      </c>
      <c r="B32" s="75" t="s">
        <v>205</v>
      </c>
      <c r="C32" s="75" t="s">
        <v>206</v>
      </c>
      <c r="D32" s="75" t="s">
        <v>207</v>
      </c>
      <c r="E32" s="76" t="s">
        <v>208</v>
      </c>
      <c r="F32" s="77" t="s">
        <v>209</v>
      </c>
      <c r="G32" s="62">
        <f t="shared" si="2"/>
        <v>9</v>
      </c>
      <c r="H32" s="79"/>
      <c r="I32" s="80" t="s">
        <v>102</v>
      </c>
      <c r="J32" s="81"/>
      <c r="K32" s="81"/>
      <c r="L32" s="81"/>
      <c r="M32" s="81"/>
      <c r="N32" s="81"/>
      <c r="O32" s="81" t="s">
        <v>102</v>
      </c>
      <c r="P32" s="65" t="s">
        <v>130</v>
      </c>
      <c r="Q32" s="81"/>
      <c r="R32" s="65" t="s">
        <v>130</v>
      </c>
      <c r="S32" s="81"/>
      <c r="T32" s="81"/>
      <c r="U32" s="81"/>
      <c r="V32" s="81"/>
      <c r="W32" s="65" t="s">
        <v>102</v>
      </c>
      <c r="X32" s="81"/>
      <c r="Y32" s="81"/>
      <c r="Z32" s="81"/>
      <c r="AA32" s="81" t="s">
        <v>102</v>
      </c>
      <c r="AB32" s="81"/>
      <c r="AC32" s="81" t="s">
        <v>102</v>
      </c>
      <c r="AD32" s="81"/>
      <c r="AE32" s="81"/>
      <c r="AF32" s="81"/>
      <c r="AG32" s="81" t="s">
        <v>102</v>
      </c>
      <c r="AH32" s="82"/>
      <c r="AI32" s="81"/>
      <c r="AJ32" s="81"/>
      <c r="AK32" s="81"/>
      <c r="AL32" s="81"/>
      <c r="AM32" s="81" t="s">
        <v>102</v>
      </c>
      <c r="AN32" s="81"/>
      <c r="AO32" s="81"/>
      <c r="AP32" s="81" t="s">
        <v>102</v>
      </c>
      <c r="AQ32" s="81"/>
      <c r="AR32" s="81"/>
      <c r="AS32" s="81"/>
      <c r="AT32" s="81"/>
      <c r="AU32" s="81"/>
      <c r="AV32" s="81" t="s">
        <v>102</v>
      </c>
      <c r="AW32" s="81"/>
      <c r="AX32" s="68">
        <f t="shared" si="3"/>
        <v>9</v>
      </c>
      <c r="AY32" s="69" t="str">
        <f t="shared" si="4"/>
        <v>Andrew Fuller</v>
      </c>
    </row>
    <row r="33" spans="1:66" x14ac:dyDescent="0.2">
      <c r="A33" s="75" t="s">
        <v>210</v>
      </c>
      <c r="B33" s="75" t="s">
        <v>211</v>
      </c>
      <c r="C33" s="75" t="s">
        <v>212</v>
      </c>
      <c r="D33" s="75" t="s">
        <v>213</v>
      </c>
      <c r="E33" s="76" t="s">
        <v>214</v>
      </c>
      <c r="F33" s="77" t="s">
        <v>215</v>
      </c>
      <c r="G33" s="62">
        <f t="shared" si="2"/>
        <v>11</v>
      </c>
      <c r="H33" s="79"/>
      <c r="I33" s="80"/>
      <c r="J33" s="81"/>
      <c r="K33" s="81"/>
      <c r="L33" s="81"/>
      <c r="M33" s="81"/>
      <c r="N33" s="81" t="s">
        <v>102</v>
      </c>
      <c r="O33" s="81"/>
      <c r="P33" s="65" t="s">
        <v>102</v>
      </c>
      <c r="Q33" s="81"/>
      <c r="R33" s="65" t="s">
        <v>102</v>
      </c>
      <c r="S33" s="81"/>
      <c r="T33" s="81"/>
      <c r="U33" s="81"/>
      <c r="V33" s="81"/>
      <c r="W33" s="65" t="s">
        <v>102</v>
      </c>
      <c r="X33" s="81"/>
      <c r="Y33" s="81" t="s">
        <v>102</v>
      </c>
      <c r="Z33" s="81"/>
      <c r="AA33" s="81"/>
      <c r="AB33" s="81"/>
      <c r="AC33" s="81"/>
      <c r="AD33" s="81"/>
      <c r="AE33" s="81" t="s">
        <v>102</v>
      </c>
      <c r="AF33" s="81"/>
      <c r="AG33" s="81"/>
      <c r="AH33" s="82"/>
      <c r="AI33" s="81"/>
      <c r="AJ33" s="81" t="s">
        <v>102</v>
      </c>
      <c r="AK33" s="81"/>
      <c r="AL33" s="81" t="s">
        <v>102</v>
      </c>
      <c r="AM33" s="81"/>
      <c r="AN33" s="81"/>
      <c r="AO33" s="81"/>
      <c r="AP33" s="81" t="s">
        <v>102</v>
      </c>
      <c r="AQ33" s="81"/>
      <c r="AR33" s="81"/>
      <c r="AS33" s="81"/>
      <c r="AT33" s="81" t="s">
        <v>102</v>
      </c>
      <c r="AU33" s="81"/>
      <c r="AV33" s="81"/>
      <c r="AW33" s="81" t="s">
        <v>102</v>
      </c>
      <c r="AX33" s="68">
        <f t="shared" si="3"/>
        <v>11</v>
      </c>
      <c r="AY33" s="69" t="str">
        <f t="shared" si="4"/>
        <v>Roger Maber</v>
      </c>
    </row>
    <row r="34" spans="1:66" x14ac:dyDescent="0.2">
      <c r="A34" s="75" t="s">
        <v>216</v>
      </c>
      <c r="B34" s="75" t="s">
        <v>217</v>
      </c>
      <c r="C34" s="75" t="s">
        <v>218</v>
      </c>
      <c r="D34" s="75" t="s">
        <v>219</v>
      </c>
      <c r="E34" s="76" t="s">
        <v>220</v>
      </c>
      <c r="F34" s="77" t="s">
        <v>221</v>
      </c>
      <c r="G34" s="78">
        <f t="shared" si="2"/>
        <v>22</v>
      </c>
      <c r="H34" s="79"/>
      <c r="I34" s="80" t="s">
        <v>102</v>
      </c>
      <c r="J34" s="81" t="s">
        <v>130</v>
      </c>
      <c r="K34" s="81"/>
      <c r="L34" s="81"/>
      <c r="M34" s="81"/>
      <c r="N34" s="81"/>
      <c r="O34" s="81"/>
      <c r="P34" s="65" t="s">
        <v>102</v>
      </c>
      <c r="Q34" s="81"/>
      <c r="R34" s="65" t="s">
        <v>102</v>
      </c>
      <c r="S34" s="81"/>
      <c r="T34" s="81"/>
      <c r="U34" s="81"/>
      <c r="V34" s="81" t="s">
        <v>102</v>
      </c>
      <c r="W34" s="65" t="s">
        <v>102</v>
      </c>
      <c r="X34" s="81"/>
      <c r="Y34" s="81"/>
      <c r="Z34" s="24" t="s">
        <v>102</v>
      </c>
      <c r="AA34" s="81" t="s">
        <v>102</v>
      </c>
      <c r="AB34" s="24" t="s">
        <v>102</v>
      </c>
      <c r="AC34" s="81"/>
      <c r="AD34" s="24" t="s">
        <v>102</v>
      </c>
      <c r="AE34" s="24" t="s">
        <v>102</v>
      </c>
      <c r="AF34" s="81" t="s">
        <v>102</v>
      </c>
      <c r="AG34" s="24" t="s">
        <v>102</v>
      </c>
      <c r="AH34" s="81"/>
      <c r="AI34" s="24" t="s">
        <v>102</v>
      </c>
      <c r="AJ34" s="24" t="s">
        <v>102</v>
      </c>
      <c r="AK34" s="81" t="s">
        <v>102</v>
      </c>
      <c r="AL34" s="81"/>
      <c r="AM34" s="81" t="s">
        <v>102</v>
      </c>
      <c r="AN34" s="24" t="s">
        <v>102</v>
      </c>
      <c r="AO34" s="81"/>
      <c r="AP34" s="24" t="s">
        <v>102</v>
      </c>
      <c r="AQ34" s="81"/>
      <c r="AR34" s="24" t="s">
        <v>102</v>
      </c>
      <c r="AS34" s="81"/>
      <c r="AT34" s="24" t="s">
        <v>102</v>
      </c>
      <c r="AU34" s="24" t="s">
        <v>102</v>
      </c>
      <c r="AV34" s="81"/>
      <c r="AW34" s="24" t="s">
        <v>102</v>
      </c>
      <c r="AX34" s="68">
        <f t="shared" si="3"/>
        <v>22</v>
      </c>
      <c r="AY34" s="69" t="str">
        <f t="shared" si="4"/>
        <v>Glyn Evans</v>
      </c>
    </row>
    <row r="35" spans="1:66" x14ac:dyDescent="0.2">
      <c r="A35" s="75" t="s">
        <v>222</v>
      </c>
      <c r="B35" s="75" t="s">
        <v>223</v>
      </c>
      <c r="C35" s="75" t="s">
        <v>224</v>
      </c>
      <c r="D35" s="75" t="s">
        <v>225</v>
      </c>
      <c r="E35" s="76" t="s">
        <v>226</v>
      </c>
      <c r="F35" s="77" t="s">
        <v>227</v>
      </c>
      <c r="G35" s="62">
        <f t="shared" si="2"/>
        <v>12</v>
      </c>
      <c r="H35" s="79"/>
      <c r="I35" s="80" t="s">
        <v>102</v>
      </c>
      <c r="J35" s="81"/>
      <c r="K35" s="81"/>
      <c r="L35" s="81"/>
      <c r="M35" s="81"/>
      <c r="N35" s="81"/>
      <c r="O35" s="81" t="s">
        <v>102</v>
      </c>
      <c r="P35" s="65" t="s">
        <v>102</v>
      </c>
      <c r="Q35" s="81"/>
      <c r="R35" s="65" t="s">
        <v>102</v>
      </c>
      <c r="S35" s="81"/>
      <c r="T35" s="81" t="s">
        <v>102</v>
      </c>
      <c r="U35" s="81" t="s">
        <v>102</v>
      </c>
      <c r="V35" s="81"/>
      <c r="W35" s="65" t="s">
        <v>102</v>
      </c>
      <c r="X35" s="81"/>
      <c r="Y35" s="81"/>
      <c r="Z35" s="81"/>
      <c r="AA35" s="81"/>
      <c r="AB35" s="81" t="s">
        <v>102</v>
      </c>
      <c r="AC35" s="81"/>
      <c r="AD35" s="81"/>
      <c r="AE35" s="81"/>
      <c r="AF35" s="81"/>
      <c r="AG35" s="81"/>
      <c r="AH35" s="82" t="s">
        <v>102</v>
      </c>
      <c r="AI35" s="81"/>
      <c r="AJ35" s="81"/>
      <c r="AK35" s="81"/>
      <c r="AL35" s="81"/>
      <c r="AM35" s="81" t="s">
        <v>102</v>
      </c>
      <c r="AN35" s="81"/>
      <c r="AO35" s="81"/>
      <c r="AP35" s="81"/>
      <c r="AQ35" s="81"/>
      <c r="AR35" s="81" t="s">
        <v>102</v>
      </c>
      <c r="AS35" s="81"/>
      <c r="AT35" s="81"/>
      <c r="AU35" s="81"/>
      <c r="AV35" s="81" t="s">
        <v>102</v>
      </c>
      <c r="AW35" s="81"/>
      <c r="AX35" s="68">
        <f t="shared" si="3"/>
        <v>12</v>
      </c>
      <c r="AY35" s="69" t="str">
        <f t="shared" si="4"/>
        <v>Angus Steel</v>
      </c>
    </row>
    <row r="36" spans="1:66" x14ac:dyDescent="0.2">
      <c r="A36" s="75" t="s">
        <v>228</v>
      </c>
      <c r="B36" s="75" t="s">
        <v>229</v>
      </c>
      <c r="C36" s="75" t="s">
        <v>230</v>
      </c>
      <c r="D36" s="75" t="s">
        <v>231</v>
      </c>
      <c r="E36" s="76" t="s">
        <v>232</v>
      </c>
      <c r="F36" s="77" t="s">
        <v>233</v>
      </c>
      <c r="G36" s="62">
        <f t="shared" si="2"/>
        <v>11</v>
      </c>
      <c r="H36" s="79"/>
      <c r="I36" s="80"/>
      <c r="J36" s="81"/>
      <c r="K36" s="99" t="s">
        <v>102</v>
      </c>
      <c r="L36" s="81"/>
      <c r="M36" s="81"/>
      <c r="N36" s="99" t="s">
        <v>130</v>
      </c>
      <c r="O36" s="81"/>
      <c r="P36" s="65" t="s">
        <v>102</v>
      </c>
      <c r="Q36" s="81"/>
      <c r="R36" s="65" t="s">
        <v>102</v>
      </c>
      <c r="S36" s="99" t="s">
        <v>130</v>
      </c>
      <c r="T36" s="81" t="s">
        <v>102</v>
      </c>
      <c r="U36" s="81"/>
      <c r="V36" s="81"/>
      <c r="W36" s="65" t="s">
        <v>102</v>
      </c>
      <c r="X36" s="81"/>
      <c r="Y36" s="81"/>
      <c r="Z36" s="81"/>
      <c r="AA36" s="81" t="s">
        <v>102</v>
      </c>
      <c r="AB36" s="81"/>
      <c r="AC36" s="81"/>
      <c r="AD36" s="81"/>
      <c r="AE36" s="99" t="s">
        <v>102</v>
      </c>
      <c r="AF36" s="81"/>
      <c r="AG36" s="81"/>
      <c r="AH36" s="82" t="s">
        <v>102</v>
      </c>
      <c r="AI36" s="81"/>
      <c r="AJ36" s="24" t="s">
        <v>102</v>
      </c>
      <c r="AK36" s="81"/>
      <c r="AL36" s="81" t="s">
        <v>102</v>
      </c>
      <c r="AM36" s="81"/>
      <c r="AN36" s="81"/>
      <c r="AO36" s="81"/>
      <c r="AP36" s="81"/>
      <c r="AQ36" s="81"/>
      <c r="AR36" s="99" t="s">
        <v>102</v>
      </c>
      <c r="AS36" s="81"/>
      <c r="AT36" s="81"/>
      <c r="AU36" s="81"/>
      <c r="AV36" s="81"/>
      <c r="AW36" s="81"/>
      <c r="AX36" s="68">
        <f t="shared" si="3"/>
        <v>11</v>
      </c>
      <c r="AY36" s="69" t="str">
        <f t="shared" si="4"/>
        <v>Robert Williams</v>
      </c>
    </row>
    <row r="37" spans="1:66" x14ac:dyDescent="0.2">
      <c r="A37" s="75" t="s">
        <v>234</v>
      </c>
      <c r="B37" s="75" t="s">
        <v>122</v>
      </c>
      <c r="C37" s="75" t="s">
        <v>122</v>
      </c>
      <c r="D37" s="75" t="s">
        <v>235</v>
      </c>
      <c r="E37" s="76" t="s">
        <v>236</v>
      </c>
      <c r="F37" s="77" t="s">
        <v>237</v>
      </c>
      <c r="G37" s="62">
        <f t="shared" si="2"/>
        <v>16</v>
      </c>
      <c r="H37" s="79"/>
      <c r="I37" s="80"/>
      <c r="J37" s="81" t="s">
        <v>130</v>
      </c>
      <c r="K37" s="81"/>
      <c r="L37" s="24" t="s">
        <v>102</v>
      </c>
      <c r="M37" s="81" t="s">
        <v>102</v>
      </c>
      <c r="N37" s="81"/>
      <c r="O37" s="81" t="s">
        <v>102</v>
      </c>
      <c r="P37" s="81" t="s">
        <v>102</v>
      </c>
      <c r="Q37" s="81"/>
      <c r="R37" s="65" t="s">
        <v>102</v>
      </c>
      <c r="S37" s="81"/>
      <c r="T37" s="81"/>
      <c r="U37" s="81"/>
      <c r="V37" s="81"/>
      <c r="W37" s="65" t="s">
        <v>130</v>
      </c>
      <c r="X37" s="81" t="s">
        <v>102</v>
      </c>
      <c r="Y37" s="81"/>
      <c r="Z37" s="81" t="s">
        <v>102</v>
      </c>
      <c r="AA37" s="81"/>
      <c r="AB37" s="81" t="s">
        <v>102</v>
      </c>
      <c r="AC37" s="81"/>
      <c r="AD37" s="81" t="s">
        <v>102</v>
      </c>
      <c r="AE37" s="81"/>
      <c r="AF37" s="81" t="s">
        <v>102</v>
      </c>
      <c r="AG37" s="81"/>
      <c r="AH37" s="82"/>
      <c r="AI37" s="81" t="s">
        <v>102</v>
      </c>
      <c r="AJ37" s="81"/>
      <c r="AK37" s="81" t="s">
        <v>102</v>
      </c>
      <c r="AL37" s="81"/>
      <c r="AM37" s="81" t="s">
        <v>102</v>
      </c>
      <c r="AN37" s="81"/>
      <c r="AO37" s="81" t="s">
        <v>102</v>
      </c>
      <c r="AP37" s="81"/>
      <c r="AQ37" s="24" t="s">
        <v>102</v>
      </c>
      <c r="AR37" s="81"/>
      <c r="AS37" s="81"/>
      <c r="AT37" s="81" t="s">
        <v>102</v>
      </c>
      <c r="AU37" s="81"/>
      <c r="AV37" s="81"/>
      <c r="AW37" s="81"/>
      <c r="AX37" s="68">
        <f t="shared" si="3"/>
        <v>16</v>
      </c>
      <c r="AY37" s="69" t="str">
        <f t="shared" si="4"/>
        <v>Simon Threadingham</v>
      </c>
      <c r="AZ37" s="57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</row>
    <row r="38" spans="1:66" x14ac:dyDescent="0.2">
      <c r="A38" s="75" t="s">
        <v>238</v>
      </c>
      <c r="B38" s="75" t="s">
        <v>239</v>
      </c>
      <c r="C38" s="75" t="s">
        <v>240</v>
      </c>
      <c r="D38" s="75" t="s">
        <v>241</v>
      </c>
      <c r="E38" s="76" t="s">
        <v>242</v>
      </c>
      <c r="F38" s="77" t="s">
        <v>243</v>
      </c>
      <c r="G38" s="62">
        <f t="shared" si="2"/>
        <v>10</v>
      </c>
      <c r="H38" s="79"/>
      <c r="I38" s="80"/>
      <c r="J38" s="81"/>
      <c r="K38" s="81"/>
      <c r="L38" s="81"/>
      <c r="M38" s="81"/>
      <c r="N38" s="81"/>
      <c r="O38" s="100" t="s">
        <v>102</v>
      </c>
      <c r="P38" s="101" t="s">
        <v>102</v>
      </c>
      <c r="Q38" s="102" t="s">
        <v>102</v>
      </c>
      <c r="R38" s="65" t="s">
        <v>102</v>
      </c>
      <c r="S38" s="81"/>
      <c r="T38" s="81"/>
      <c r="U38" s="102" t="s">
        <v>102</v>
      </c>
      <c r="W38" s="65" t="s">
        <v>102</v>
      </c>
      <c r="X38" s="81"/>
      <c r="Y38"/>
      <c r="Z38" s="81"/>
      <c r="AA38" s="81"/>
      <c r="AB38" s="81"/>
      <c r="AC38" s="81"/>
      <c r="AD38" s="81"/>
      <c r="AE38" s="81"/>
      <c r="AF38" s="81"/>
      <c r="AG38" s="81"/>
      <c r="AH38" s="82"/>
      <c r="AI38" s="81"/>
      <c r="AJ38" s="81"/>
      <c r="AK38" s="81"/>
      <c r="AL38" s="81"/>
      <c r="AM38" s="81"/>
      <c r="AN38" s="102" t="s">
        <v>102</v>
      </c>
      <c r="AO38" s="81" t="s">
        <v>102</v>
      </c>
      <c r="AP38" s="81"/>
      <c r="AQ38" s="81" t="s">
        <v>102</v>
      </c>
      <c r="AR38" s="81"/>
      <c r="AS38" s="102" t="s">
        <v>102</v>
      </c>
      <c r="AT38" s="81"/>
      <c r="AU38" s="81"/>
      <c r="AV38" s="81"/>
      <c r="AW38" s="81"/>
      <c r="AX38" s="68">
        <f t="shared" si="3"/>
        <v>10</v>
      </c>
      <c r="AY38" s="69" t="str">
        <f t="shared" si="4"/>
        <v>Peter  Martin</v>
      </c>
    </row>
    <row r="39" spans="1:66" x14ac:dyDescent="0.2">
      <c r="A39" s="75" t="s">
        <v>238</v>
      </c>
      <c r="B39" s="75" t="s">
        <v>244</v>
      </c>
      <c r="C39" s="75" t="s">
        <v>245</v>
      </c>
      <c r="D39" s="75" t="s">
        <v>246</v>
      </c>
      <c r="E39" s="76" t="s">
        <v>242</v>
      </c>
      <c r="F39" s="77" t="s">
        <v>247</v>
      </c>
      <c r="G39" s="62">
        <f t="shared" si="2"/>
        <v>10</v>
      </c>
      <c r="H39" s="79"/>
      <c r="I39" s="64" t="s">
        <v>102</v>
      </c>
      <c r="J39" s="81"/>
      <c r="K39" s="81"/>
      <c r="L39" s="81"/>
      <c r="M39" s="81"/>
      <c r="N39" s="81"/>
      <c r="O39" s="81"/>
      <c r="P39" s="65" t="s">
        <v>102</v>
      </c>
      <c r="Q39" s="81"/>
      <c r="R39" s="65" t="s">
        <v>102</v>
      </c>
      <c r="S39" s="102" t="s">
        <v>102</v>
      </c>
      <c r="T39" s="81"/>
      <c r="U39" s="81"/>
      <c r="W39" s="65" t="s">
        <v>102</v>
      </c>
      <c r="X39" s="81"/>
      <c r="Y39" s="81"/>
      <c r="Z39" s="81"/>
      <c r="AA39" s="81"/>
      <c r="AB39" s="81"/>
      <c r="AC39" s="81"/>
      <c r="AD39" s="81"/>
      <c r="AE39" s="81" t="s">
        <v>102</v>
      </c>
      <c r="AF39" s="81"/>
      <c r="AG39" s="102" t="s">
        <v>102</v>
      </c>
      <c r="AH39" s="82"/>
      <c r="AI39" s="81"/>
      <c r="AJ39" s="81"/>
      <c r="AK39" s="81"/>
      <c r="AL39" s="102" t="s">
        <v>102</v>
      </c>
      <c r="AM39" s="81"/>
      <c r="AO39" s="81"/>
      <c r="AP39" s="102" t="s">
        <v>102</v>
      </c>
      <c r="AQ39" s="81"/>
      <c r="AR39" s="81"/>
      <c r="AS39" s="81"/>
      <c r="AT39" s="81"/>
      <c r="AU39" s="102" t="s">
        <v>102</v>
      </c>
      <c r="AV39" s="81"/>
      <c r="AW39" s="81"/>
      <c r="AX39" s="68">
        <f t="shared" si="3"/>
        <v>10</v>
      </c>
      <c r="AY39" s="69" t="str">
        <f t="shared" si="4"/>
        <v>Ian Warburton</v>
      </c>
    </row>
    <row r="40" spans="1:66" x14ac:dyDescent="0.2">
      <c r="A40" s="75" t="s">
        <v>238</v>
      </c>
      <c r="B40" s="75" t="s">
        <v>248</v>
      </c>
      <c r="C40" s="75" t="s">
        <v>249</v>
      </c>
      <c r="D40" s="75" t="s">
        <v>250</v>
      </c>
      <c r="E40" s="76" t="s">
        <v>242</v>
      </c>
      <c r="F40" s="77" t="s">
        <v>251</v>
      </c>
      <c r="G40" s="62">
        <f t="shared" si="2"/>
        <v>23</v>
      </c>
      <c r="H40" s="79"/>
      <c r="I40" s="36" t="s">
        <v>102</v>
      </c>
      <c r="J40" s="102" t="s">
        <v>102</v>
      </c>
      <c r="K40" s="24" t="s">
        <v>252</v>
      </c>
      <c r="L40" s="24" t="s">
        <v>102</v>
      </c>
      <c r="M40" s="81"/>
      <c r="N40" s="81"/>
      <c r="O40" s="65"/>
      <c r="P40" s="65" t="s">
        <v>102</v>
      </c>
      <c r="Q40" s="24" t="s">
        <v>102</v>
      </c>
      <c r="R40" s="65" t="s">
        <v>102</v>
      </c>
      <c r="S40" s="81"/>
      <c r="T40" s="24" t="s">
        <v>102</v>
      </c>
      <c r="U40" s="81"/>
      <c r="V40" s="102" t="s">
        <v>102</v>
      </c>
      <c r="W40" s="65" t="s">
        <v>102</v>
      </c>
      <c r="X40" s="102" t="s">
        <v>102</v>
      </c>
      <c r="Y40" s="81"/>
      <c r="Z40" s="24" t="s">
        <v>102</v>
      </c>
      <c r="AA40" s="81"/>
      <c r="AB40" s="24" t="s">
        <v>102</v>
      </c>
      <c r="AC40" s="102" t="s">
        <v>102</v>
      </c>
      <c r="AD40" s="81"/>
      <c r="AE40" s="81"/>
      <c r="AF40" s="102" t="s">
        <v>102</v>
      </c>
      <c r="AG40" s="81"/>
      <c r="AH40" s="103" t="s">
        <v>102</v>
      </c>
      <c r="AI40" s="102" t="s">
        <v>102</v>
      </c>
      <c r="AJ40" s="81"/>
      <c r="AK40" s="24" t="s">
        <v>102</v>
      </c>
      <c r="AL40" s="81"/>
      <c r="AM40" s="102" t="s">
        <v>102</v>
      </c>
      <c r="AN40" s="81"/>
      <c r="AO40" s="81"/>
      <c r="AP40" s="81"/>
      <c r="AQ40" s="24" t="s">
        <v>102</v>
      </c>
      <c r="AR40" s="24" t="s">
        <v>102</v>
      </c>
      <c r="AS40" s="81"/>
      <c r="AT40" s="81"/>
      <c r="AU40" s="24" t="s">
        <v>102</v>
      </c>
      <c r="AV40" s="102" t="s">
        <v>102</v>
      </c>
      <c r="AW40" s="24" t="s">
        <v>102</v>
      </c>
      <c r="AX40" s="68">
        <f t="shared" si="3"/>
        <v>23</v>
      </c>
      <c r="AY40" s="69" t="str">
        <f t="shared" si="4"/>
        <v>Kevin Dennis</v>
      </c>
    </row>
    <row r="41" spans="1:66" x14ac:dyDescent="0.2">
      <c r="A41" s="104" t="s">
        <v>238</v>
      </c>
      <c r="B41" s="104" t="s">
        <v>253</v>
      </c>
      <c r="C41" s="104" t="s">
        <v>254</v>
      </c>
      <c r="D41" s="104" t="s">
        <v>255</v>
      </c>
      <c r="E41" s="105" t="s">
        <v>242</v>
      </c>
      <c r="F41" s="77" t="s">
        <v>256</v>
      </c>
      <c r="G41" s="62">
        <f t="shared" si="2"/>
        <v>11</v>
      </c>
      <c r="H41" s="79"/>
      <c r="I41" s="80"/>
      <c r="J41" s="81"/>
      <c r="K41" s="102" t="s">
        <v>102</v>
      </c>
      <c r="L41" s="81"/>
      <c r="M41" s="81"/>
      <c r="N41" s="102" t="s">
        <v>102</v>
      </c>
      <c r="O41" s="81"/>
      <c r="P41" s="65" t="s">
        <v>102</v>
      </c>
      <c r="Q41" s="81"/>
      <c r="R41" s="65" t="s">
        <v>102</v>
      </c>
      <c r="S41" s="81"/>
      <c r="T41" s="102" t="s">
        <v>102</v>
      </c>
      <c r="U41" s="81"/>
      <c r="V41" s="81"/>
      <c r="W41" s="102" t="s">
        <v>102</v>
      </c>
      <c r="X41" s="81"/>
      <c r="Y41" s="81"/>
      <c r="Z41" s="81"/>
      <c r="AA41" s="81"/>
      <c r="AB41" s="102" t="s">
        <v>102</v>
      </c>
      <c r="AC41" s="81" t="s">
        <v>102</v>
      </c>
      <c r="AD41" s="81"/>
      <c r="AE41" s="81"/>
      <c r="AF41" s="81"/>
      <c r="AG41" s="81"/>
      <c r="AH41" s="102" t="s">
        <v>102</v>
      </c>
      <c r="AI41" s="81"/>
      <c r="AJ41" s="102" t="s">
        <v>102</v>
      </c>
      <c r="AK41" s="81"/>
      <c r="AL41" s="81"/>
      <c r="AM41" s="81"/>
      <c r="AN41" s="81"/>
      <c r="AO41" s="81"/>
      <c r="AP41" s="81"/>
      <c r="AQ41" s="81"/>
      <c r="AR41" s="102" t="s">
        <v>102</v>
      </c>
      <c r="AS41" s="81"/>
      <c r="AT41" s="81"/>
      <c r="AU41" s="81"/>
      <c r="AV41" s="81"/>
      <c r="AW41" s="81"/>
      <c r="AX41" s="68">
        <f t="shared" si="3"/>
        <v>11</v>
      </c>
      <c r="AY41" s="69" t="str">
        <f t="shared" si="4"/>
        <v>Gordon Adams</v>
      </c>
    </row>
    <row r="42" spans="1:66" x14ac:dyDescent="0.2">
      <c r="A42" s="104" t="s">
        <v>238</v>
      </c>
      <c r="B42" s="104" t="s">
        <v>257</v>
      </c>
      <c r="C42" s="104" t="s">
        <v>117</v>
      </c>
      <c r="D42" s="104" t="s">
        <v>258</v>
      </c>
      <c r="E42" s="105" t="s">
        <v>242</v>
      </c>
      <c r="F42" s="77" t="s">
        <v>259</v>
      </c>
      <c r="G42" s="62">
        <f t="shared" si="2"/>
        <v>10</v>
      </c>
      <c r="H42" s="79"/>
      <c r="I42" s="80"/>
      <c r="J42" s="81" t="s">
        <v>102</v>
      </c>
      <c r="K42" s="81"/>
      <c r="L42" s="81"/>
      <c r="M42" s="102" t="s">
        <v>102</v>
      </c>
      <c r="N42" s="81"/>
      <c r="O42" s="65"/>
      <c r="P42" s="65" t="s">
        <v>130</v>
      </c>
      <c r="Q42" s="81"/>
      <c r="R42" s="65" t="s">
        <v>102</v>
      </c>
      <c r="S42" s="81"/>
      <c r="T42" s="81"/>
      <c r="U42" s="81"/>
      <c r="V42" s="81"/>
      <c r="W42" s="65" t="s">
        <v>102</v>
      </c>
      <c r="X42" s="81"/>
      <c r="Y42" s="102" t="s">
        <v>102</v>
      </c>
      <c r="Z42" s="102" t="s">
        <v>102</v>
      </c>
      <c r="AA42" s="81"/>
      <c r="AB42" s="81"/>
      <c r="AC42" s="81"/>
      <c r="AD42" s="102" t="s">
        <v>102</v>
      </c>
      <c r="AE42" s="81"/>
      <c r="AF42" s="81"/>
      <c r="AG42" s="81"/>
      <c r="AH42" s="82"/>
      <c r="AI42" s="81" t="s">
        <v>102</v>
      </c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102" t="s">
        <v>102</v>
      </c>
      <c r="AU42" s="81"/>
      <c r="AV42" s="81"/>
      <c r="AW42" s="102" t="s">
        <v>102</v>
      </c>
      <c r="AX42" s="68">
        <f t="shared" si="3"/>
        <v>10</v>
      </c>
      <c r="AY42" s="69" t="str">
        <f t="shared" si="4"/>
        <v>Michael Salter</v>
      </c>
    </row>
    <row r="43" spans="1:66" x14ac:dyDescent="0.2">
      <c r="A43" s="104" t="s">
        <v>238</v>
      </c>
      <c r="B43" s="104" t="s">
        <v>260</v>
      </c>
      <c r="C43" s="104" t="s">
        <v>260</v>
      </c>
      <c r="D43" s="104" t="s">
        <v>261</v>
      </c>
      <c r="E43" s="105" t="s">
        <v>242</v>
      </c>
      <c r="F43" s="77" t="s">
        <v>262</v>
      </c>
      <c r="G43" s="62">
        <f t="shared" si="2"/>
        <v>10</v>
      </c>
      <c r="H43" s="79"/>
      <c r="I43" s="80"/>
      <c r="J43" s="81"/>
      <c r="K43" s="81"/>
      <c r="L43" s="102" t="s">
        <v>102</v>
      </c>
      <c r="M43" s="81"/>
      <c r="N43" s="81"/>
      <c r="O43" s="81"/>
      <c r="P43" s="65" t="s">
        <v>102</v>
      </c>
      <c r="Q43" s="81"/>
      <c r="R43" s="65" t="s">
        <v>102</v>
      </c>
      <c r="S43" s="81"/>
      <c r="T43" s="81"/>
      <c r="U43" s="81"/>
      <c r="V43" s="81"/>
      <c r="W43" s="65" t="s">
        <v>102</v>
      </c>
      <c r="X43" s="81"/>
      <c r="Y43" s="81"/>
      <c r="Z43" s="81"/>
      <c r="AA43" s="102" t="s">
        <v>102</v>
      </c>
      <c r="AB43" s="81"/>
      <c r="AC43" s="81"/>
      <c r="AD43" s="81"/>
      <c r="AE43" s="102" t="s">
        <v>102</v>
      </c>
      <c r="AF43" s="81"/>
      <c r="AG43" s="81"/>
      <c r="AH43" s="82"/>
      <c r="AI43" s="81"/>
      <c r="AJ43" s="81"/>
      <c r="AK43" s="102" t="s">
        <v>102</v>
      </c>
      <c r="AL43" s="81"/>
      <c r="AM43" s="81"/>
      <c r="AN43" s="81"/>
      <c r="AO43" s="102" t="s">
        <v>102</v>
      </c>
      <c r="AP43" s="81"/>
      <c r="AQ43" s="102" t="s">
        <v>102</v>
      </c>
      <c r="AR43" s="81"/>
      <c r="AS43" s="81"/>
      <c r="AT43" s="81"/>
      <c r="AU43" s="81"/>
      <c r="AV43" s="81" t="s">
        <v>102</v>
      </c>
      <c r="AW43" s="81"/>
      <c r="AX43" s="68">
        <f t="shared" si="3"/>
        <v>10</v>
      </c>
      <c r="AY43" s="69" t="str">
        <f t="shared" si="4"/>
        <v>Ali Nazaripour</v>
      </c>
    </row>
    <row r="44" spans="1:66" x14ac:dyDescent="0.2">
      <c r="A44" s="104" t="s">
        <v>263</v>
      </c>
      <c r="B44" s="104" t="s">
        <v>264</v>
      </c>
      <c r="C44" s="104" t="s">
        <v>206</v>
      </c>
      <c r="D44" s="104" t="s">
        <v>265</v>
      </c>
      <c r="E44" s="105" t="s">
        <v>266</v>
      </c>
      <c r="F44" s="77" t="s">
        <v>267</v>
      </c>
      <c r="G44" s="62">
        <f t="shared" si="2"/>
        <v>10</v>
      </c>
      <c r="H44" s="79"/>
      <c r="I44" s="80"/>
      <c r="J44" s="81"/>
      <c r="K44" s="81"/>
      <c r="L44" s="81"/>
      <c r="M44" s="81" t="s">
        <v>130</v>
      </c>
      <c r="N44" s="81" t="s">
        <v>102</v>
      </c>
      <c r="O44" s="81"/>
      <c r="P44" s="65" t="s">
        <v>102</v>
      </c>
      <c r="Q44" s="81"/>
      <c r="R44" s="65" t="s">
        <v>102</v>
      </c>
      <c r="S44" s="81"/>
      <c r="T44" s="81"/>
      <c r="U44" s="81" t="s">
        <v>102</v>
      </c>
      <c r="V44" s="81"/>
      <c r="W44" s="65" t="s">
        <v>102</v>
      </c>
      <c r="X44" s="81"/>
      <c r="Y44" s="81" t="s">
        <v>102</v>
      </c>
      <c r="Z44" s="81" t="s">
        <v>102</v>
      </c>
      <c r="AA44" s="81"/>
      <c r="AB44" s="81"/>
      <c r="AC44" s="81"/>
      <c r="AD44" s="81"/>
      <c r="AE44" s="81"/>
      <c r="AF44" s="81"/>
      <c r="AG44" s="81"/>
      <c r="AH44" s="82"/>
      <c r="AI44" s="81"/>
      <c r="AJ44" s="81" t="s">
        <v>102</v>
      </c>
      <c r="AK44" s="81"/>
      <c r="AL44" s="81"/>
      <c r="AM44" s="81" t="s">
        <v>102</v>
      </c>
      <c r="AN44" s="81"/>
      <c r="AO44" s="81"/>
      <c r="AP44" s="81"/>
      <c r="AQ44" s="81"/>
      <c r="AR44" s="81"/>
      <c r="AS44" s="81"/>
      <c r="AT44" s="81"/>
      <c r="AU44" s="81"/>
      <c r="AV44" s="81" t="s">
        <v>102</v>
      </c>
      <c r="AW44" s="81"/>
      <c r="AX44" s="68">
        <f t="shared" si="3"/>
        <v>10</v>
      </c>
      <c r="AY44" s="69" t="str">
        <f t="shared" si="4"/>
        <v>Andrew Morris</v>
      </c>
    </row>
    <row r="45" spans="1:66" x14ac:dyDescent="0.2">
      <c r="A45" s="104" t="s">
        <v>268</v>
      </c>
      <c r="B45" s="104" t="s">
        <v>269</v>
      </c>
      <c r="C45" s="104" t="s">
        <v>270</v>
      </c>
      <c r="D45" s="104" t="s">
        <v>271</v>
      </c>
      <c r="E45" s="105" t="s">
        <v>272</v>
      </c>
      <c r="F45" s="77" t="s">
        <v>273</v>
      </c>
      <c r="G45" s="62">
        <f t="shared" si="2"/>
        <v>16</v>
      </c>
      <c r="H45" s="79"/>
      <c r="I45" s="80"/>
      <c r="J45" s="64" t="s">
        <v>102</v>
      </c>
      <c r="K45" s="81"/>
      <c r="L45" s="81"/>
      <c r="M45" s="85" t="s">
        <v>102</v>
      </c>
      <c r="N45" s="81"/>
      <c r="O45" s="81"/>
      <c r="P45" s="65" t="s">
        <v>102</v>
      </c>
      <c r="Q45" s="81"/>
      <c r="R45" s="65" t="s">
        <v>102</v>
      </c>
      <c r="S45" s="85" t="s">
        <v>102</v>
      </c>
      <c r="T45" s="81"/>
      <c r="U45" s="81"/>
      <c r="V45" s="81"/>
      <c r="W45" s="65" t="s">
        <v>102</v>
      </c>
      <c r="X45" s="81"/>
      <c r="Y45" s="81"/>
      <c r="Z45" s="81"/>
      <c r="AA45" s="85" t="s">
        <v>102</v>
      </c>
      <c r="AB45" s="81"/>
      <c r="AC45" s="85" t="s">
        <v>102</v>
      </c>
      <c r="AD45" s="81"/>
      <c r="AE45" s="85" t="s">
        <v>102</v>
      </c>
      <c r="AF45" s="81"/>
      <c r="AG45" s="81"/>
      <c r="AH45" s="82"/>
      <c r="AI45" s="83" t="s">
        <v>102</v>
      </c>
      <c r="AJ45" s="81"/>
      <c r="AK45" s="81"/>
      <c r="AL45" s="81"/>
      <c r="AM45" s="85" t="s">
        <v>102</v>
      </c>
      <c r="AN45" s="81"/>
      <c r="AO45" s="83" t="s">
        <v>102</v>
      </c>
      <c r="AP45" s="85" t="s">
        <v>102</v>
      </c>
      <c r="AQ45" s="81"/>
      <c r="AR45" s="83" t="s">
        <v>102</v>
      </c>
      <c r="AS45" s="81"/>
      <c r="AT45" s="81"/>
      <c r="AU45" s="85" t="s">
        <v>102</v>
      </c>
      <c r="AV45" s="81"/>
      <c r="AW45" s="85" t="s">
        <v>102</v>
      </c>
      <c r="AX45" s="68">
        <f t="shared" si="3"/>
        <v>16</v>
      </c>
      <c r="AY45" s="69" t="str">
        <f t="shared" si="4"/>
        <v>Nicholas Francis</v>
      </c>
    </row>
    <row r="46" spans="1:66" x14ac:dyDescent="0.2">
      <c r="A46" s="104" t="s">
        <v>268</v>
      </c>
      <c r="B46" s="104" t="s">
        <v>274</v>
      </c>
      <c r="C46" s="104" t="s">
        <v>275</v>
      </c>
      <c r="D46" s="104" t="s">
        <v>276</v>
      </c>
      <c r="E46" s="105" t="s">
        <v>272</v>
      </c>
      <c r="F46" s="77" t="s">
        <v>277</v>
      </c>
      <c r="G46" s="62">
        <f t="shared" si="2"/>
        <v>14</v>
      </c>
      <c r="H46" s="79"/>
      <c r="I46" s="80"/>
      <c r="J46" s="81"/>
      <c r="K46" s="81"/>
      <c r="L46" s="81"/>
      <c r="M46" s="81"/>
      <c r="N46" s="81"/>
      <c r="O46" s="81" t="s">
        <v>102</v>
      </c>
      <c r="P46" s="65" t="s">
        <v>102</v>
      </c>
      <c r="Q46" s="81"/>
      <c r="R46" s="65" t="s">
        <v>102</v>
      </c>
      <c r="S46" s="81"/>
      <c r="T46" s="85" t="s">
        <v>102</v>
      </c>
      <c r="U46" s="81"/>
      <c r="V46" s="81"/>
      <c r="W46" s="65" t="s">
        <v>102</v>
      </c>
      <c r="X46" s="106" t="s">
        <v>102</v>
      </c>
      <c r="Y46" s="81"/>
      <c r="Z46" s="81"/>
      <c r="AA46" s="88"/>
      <c r="AB46" s="85" t="s">
        <v>130</v>
      </c>
      <c r="AC46" s="81"/>
      <c r="AD46" s="85" t="s">
        <v>130</v>
      </c>
      <c r="AE46" s="81"/>
      <c r="AF46" s="85" t="s">
        <v>102</v>
      </c>
      <c r="AG46" s="81"/>
      <c r="AH46" s="85" t="s">
        <v>102</v>
      </c>
      <c r="AI46" s="81"/>
      <c r="AJ46" s="81"/>
      <c r="AK46" s="83" t="s">
        <v>102</v>
      </c>
      <c r="AL46" s="85" t="s">
        <v>102</v>
      </c>
      <c r="AM46" s="81"/>
      <c r="AN46" s="83" t="s">
        <v>102</v>
      </c>
      <c r="AO46" s="81"/>
      <c r="AP46" s="81"/>
      <c r="AQ46" s="81"/>
      <c r="AR46" s="81"/>
      <c r="AS46" s="88"/>
      <c r="AT46" s="85" t="s">
        <v>102</v>
      </c>
      <c r="AU46" s="83" t="s">
        <v>102</v>
      </c>
      <c r="AV46" s="85" t="s">
        <v>102</v>
      </c>
      <c r="AW46" s="81"/>
      <c r="AX46" s="68">
        <f t="shared" si="3"/>
        <v>14</v>
      </c>
      <c r="AY46" s="69" t="str">
        <f t="shared" si="4"/>
        <v>Brenton Christie</v>
      </c>
    </row>
    <row r="47" spans="1:66" x14ac:dyDescent="0.2">
      <c r="A47" s="104" t="s">
        <v>268</v>
      </c>
      <c r="B47" s="104" t="s">
        <v>278</v>
      </c>
      <c r="C47" s="104" t="s">
        <v>133</v>
      </c>
      <c r="D47" s="104" t="s">
        <v>279</v>
      </c>
      <c r="E47" s="105" t="s">
        <v>272</v>
      </c>
      <c r="F47" s="77" t="s">
        <v>280</v>
      </c>
      <c r="G47" s="62">
        <f t="shared" si="2"/>
        <v>14</v>
      </c>
      <c r="H47" s="79"/>
      <c r="I47" s="80"/>
      <c r="J47" s="81"/>
      <c r="K47" s="85" t="s">
        <v>102</v>
      </c>
      <c r="L47" s="81"/>
      <c r="M47" s="81"/>
      <c r="N47" s="81"/>
      <c r="O47" s="81"/>
      <c r="P47" s="65" t="s">
        <v>102</v>
      </c>
      <c r="Q47" s="81"/>
      <c r="R47" s="65" t="s">
        <v>102</v>
      </c>
      <c r="S47" s="81"/>
      <c r="T47" s="81"/>
      <c r="U47" s="85" t="s">
        <v>102</v>
      </c>
      <c r="V47" s="81"/>
      <c r="W47" s="65" t="s">
        <v>102</v>
      </c>
      <c r="X47" s="81"/>
      <c r="Y47" s="85" t="s">
        <v>102</v>
      </c>
      <c r="Z47" s="85" t="s">
        <v>102</v>
      </c>
      <c r="AA47" s="81"/>
      <c r="AB47" s="81"/>
      <c r="AC47" s="81"/>
      <c r="AD47" s="81"/>
      <c r="AE47" s="81"/>
      <c r="AF47" s="81"/>
      <c r="AG47" s="83" t="s">
        <v>102</v>
      </c>
      <c r="AH47" s="82"/>
      <c r="AI47" s="81"/>
      <c r="AJ47" s="85" t="s">
        <v>102</v>
      </c>
      <c r="AK47" s="81"/>
      <c r="AL47" s="83" t="s">
        <v>102</v>
      </c>
      <c r="AM47" s="81"/>
      <c r="AN47" s="81"/>
      <c r="AO47" s="85" t="s">
        <v>102</v>
      </c>
      <c r="AP47" s="88"/>
      <c r="AQ47" s="85" t="s">
        <v>102</v>
      </c>
      <c r="AR47" s="81"/>
      <c r="AS47" s="85" t="s">
        <v>102</v>
      </c>
      <c r="AT47" s="83" t="s">
        <v>102</v>
      </c>
      <c r="AU47" s="81"/>
      <c r="AV47" s="81"/>
      <c r="AW47" s="81"/>
      <c r="AX47" s="68">
        <f t="shared" si="3"/>
        <v>14</v>
      </c>
      <c r="AY47" s="69" t="str">
        <f t="shared" si="4"/>
        <v>David Tidman</v>
      </c>
    </row>
    <row r="48" spans="1:66" x14ac:dyDescent="0.2">
      <c r="A48" s="104" t="s">
        <v>281</v>
      </c>
      <c r="B48" s="104" t="s">
        <v>282</v>
      </c>
      <c r="C48" s="104" t="s">
        <v>249</v>
      </c>
      <c r="D48" s="104" t="s">
        <v>283</v>
      </c>
      <c r="E48" s="105" t="s">
        <v>284</v>
      </c>
      <c r="F48" s="77" t="s">
        <v>285</v>
      </c>
      <c r="G48" s="62">
        <f t="shared" si="2"/>
        <v>10</v>
      </c>
      <c r="H48" s="79"/>
      <c r="I48" s="80"/>
      <c r="J48" s="81"/>
      <c r="K48" s="81"/>
      <c r="L48" s="81"/>
      <c r="M48" s="81" t="s">
        <v>102</v>
      </c>
      <c r="N48" s="81" t="s">
        <v>102</v>
      </c>
      <c r="O48" s="81"/>
      <c r="P48" s="65" t="s">
        <v>102</v>
      </c>
      <c r="Q48" s="81"/>
      <c r="R48" s="65" t="s">
        <v>102</v>
      </c>
      <c r="S48" s="81" t="s">
        <v>102</v>
      </c>
      <c r="T48" s="81"/>
      <c r="U48" s="81" t="s">
        <v>102</v>
      </c>
      <c r="V48" s="81"/>
      <c r="W48" s="65" t="s">
        <v>102</v>
      </c>
      <c r="X48" s="81"/>
      <c r="Y48" s="81" t="s">
        <v>102</v>
      </c>
      <c r="Z48" s="81" t="s">
        <v>102</v>
      </c>
      <c r="AA48" s="81"/>
      <c r="AB48" s="81"/>
      <c r="AC48" s="81"/>
      <c r="AD48" s="81"/>
      <c r="AE48" s="81"/>
      <c r="AF48" s="81"/>
      <c r="AG48" s="81"/>
      <c r="AH48" s="82"/>
      <c r="AI48" s="81"/>
      <c r="AJ48" s="81"/>
      <c r="AK48" s="81"/>
      <c r="AL48" s="81"/>
      <c r="AM48" s="81"/>
      <c r="AN48" s="81"/>
      <c r="AO48" s="81"/>
      <c r="AP48" s="81" t="s">
        <v>102</v>
      </c>
      <c r="AQ48" s="81"/>
      <c r="AR48" s="81"/>
      <c r="AS48" s="81"/>
      <c r="AT48" s="81"/>
      <c r="AU48" s="81"/>
      <c r="AV48" s="81"/>
      <c r="AW48" s="81"/>
      <c r="AX48" s="68">
        <f t="shared" si="3"/>
        <v>10</v>
      </c>
      <c r="AY48" s="69" t="str">
        <f t="shared" si="4"/>
        <v>Kevin Hutchins</v>
      </c>
    </row>
    <row r="49" spans="1:67 16384:16384" x14ac:dyDescent="0.2">
      <c r="A49" s="104" t="s">
        <v>286</v>
      </c>
      <c r="B49" s="104" t="s">
        <v>287</v>
      </c>
      <c r="C49" s="104" t="s">
        <v>240</v>
      </c>
      <c r="D49" s="104" t="s">
        <v>288</v>
      </c>
      <c r="E49" s="105" t="s">
        <v>289</v>
      </c>
      <c r="F49" s="77" t="s">
        <v>290</v>
      </c>
      <c r="G49" s="62">
        <f t="shared" si="2"/>
        <v>12</v>
      </c>
      <c r="H49" s="79"/>
      <c r="I49" s="80"/>
      <c r="J49" s="88" t="s">
        <v>130</v>
      </c>
      <c r="K49" s="81"/>
      <c r="L49" s="81"/>
      <c r="M49" s="81"/>
      <c r="N49" s="81"/>
      <c r="O49" s="81"/>
      <c r="P49" s="65" t="s">
        <v>102</v>
      </c>
      <c r="Q49" s="81"/>
      <c r="R49" s="65" t="s">
        <v>102</v>
      </c>
      <c r="S49" s="81"/>
      <c r="T49" s="81"/>
      <c r="U49" s="81"/>
      <c r="V49" s="65" t="s">
        <v>102</v>
      </c>
      <c r="W49" s="65" t="s">
        <v>102</v>
      </c>
      <c r="X49" s="81"/>
      <c r="Y49" s="88" t="s">
        <v>102</v>
      </c>
      <c r="Z49" s="81"/>
      <c r="AA49" s="81"/>
      <c r="AB49" s="81"/>
      <c r="AC49" s="81"/>
      <c r="AD49" s="88" t="s">
        <v>102</v>
      </c>
      <c r="AE49" s="81"/>
      <c r="AF49" s="81" t="s">
        <v>102</v>
      </c>
      <c r="AG49" s="81"/>
      <c r="AH49" s="82"/>
      <c r="AI49" s="88" t="s">
        <v>102</v>
      </c>
      <c r="AJ49" s="81"/>
      <c r="AK49" s="81" t="s">
        <v>102</v>
      </c>
      <c r="AL49" s="81"/>
      <c r="AM49" s="88"/>
      <c r="AN49" s="81"/>
      <c r="AO49" s="81" t="s">
        <v>102</v>
      </c>
      <c r="AP49" s="81"/>
      <c r="AQ49" s="81"/>
      <c r="AR49" s="81"/>
      <c r="AS49" s="24" t="s">
        <v>102</v>
      </c>
      <c r="AT49" s="88" t="s">
        <v>102</v>
      </c>
      <c r="AU49" s="81"/>
      <c r="AV49" s="81"/>
      <c r="AW49" s="81"/>
      <c r="AX49" s="68">
        <f t="shared" si="3"/>
        <v>12</v>
      </c>
      <c r="AY49" s="69" t="str">
        <f t="shared" si="4"/>
        <v>Peter  Hughes</v>
      </c>
    </row>
    <row r="50" spans="1:67 16384:16384" x14ac:dyDescent="0.2">
      <c r="A50" s="104" t="s">
        <v>286</v>
      </c>
      <c r="B50" s="104" t="s">
        <v>291</v>
      </c>
      <c r="C50" s="104" t="s">
        <v>189</v>
      </c>
      <c r="D50" s="104" t="s">
        <v>292</v>
      </c>
      <c r="E50" s="105" t="s">
        <v>289</v>
      </c>
      <c r="F50" s="77" t="s">
        <v>293</v>
      </c>
      <c r="G50" s="62">
        <f t="shared" si="2"/>
        <v>9</v>
      </c>
      <c r="H50" s="79"/>
      <c r="I50" s="80"/>
      <c r="J50" s="81"/>
      <c r="K50" s="81"/>
      <c r="L50" s="81"/>
      <c r="M50" s="81"/>
      <c r="N50" s="81"/>
      <c r="O50" s="81"/>
      <c r="P50" s="65" t="s">
        <v>102</v>
      </c>
      <c r="Q50" s="88" t="s">
        <v>102</v>
      </c>
      <c r="R50" s="65" t="s">
        <v>102</v>
      </c>
      <c r="S50" s="81"/>
      <c r="T50" s="81"/>
      <c r="U50" s="81"/>
      <c r="V50" s="81"/>
      <c r="W50" s="65" t="s">
        <v>102</v>
      </c>
      <c r="X50" s="81" t="s">
        <v>102</v>
      </c>
      <c r="Y50" s="81"/>
      <c r="Z50" s="88" t="s">
        <v>102</v>
      </c>
      <c r="AA50" s="81"/>
      <c r="AB50" s="81"/>
      <c r="AC50" s="81"/>
      <c r="AD50" s="81"/>
      <c r="AE50" s="81"/>
      <c r="AF50" s="81"/>
      <c r="AG50" s="81" t="s">
        <v>102</v>
      </c>
      <c r="AH50" s="82"/>
      <c r="AI50" s="81"/>
      <c r="AJ50" s="81"/>
      <c r="AK50" s="81"/>
      <c r="AL50" s="81"/>
      <c r="AM50" s="88"/>
      <c r="AN50" s="81"/>
      <c r="AO50" s="81"/>
      <c r="AP50" s="81"/>
      <c r="AQ50" s="81" t="s">
        <v>102</v>
      </c>
      <c r="AR50" s="88" t="s">
        <v>102</v>
      </c>
      <c r="AS50" s="81"/>
      <c r="AT50" s="81"/>
      <c r="AU50" s="81"/>
      <c r="AV50" s="81"/>
      <c r="AW50" s="81"/>
      <c r="AX50" s="68">
        <f t="shared" si="3"/>
        <v>9</v>
      </c>
      <c r="AY50" s="69" t="str">
        <f t="shared" si="4"/>
        <v>Paul Wray</v>
      </c>
    </row>
    <row r="51" spans="1:67 16384:16384" x14ac:dyDescent="0.2">
      <c r="A51" s="104" t="s">
        <v>286</v>
      </c>
      <c r="B51" s="104" t="s">
        <v>294</v>
      </c>
      <c r="C51" s="104" t="s">
        <v>133</v>
      </c>
      <c r="D51" s="104" t="s">
        <v>295</v>
      </c>
      <c r="E51" s="105" t="s">
        <v>289</v>
      </c>
      <c r="F51" s="77" t="s">
        <v>296</v>
      </c>
      <c r="G51" s="62">
        <f t="shared" si="2"/>
        <v>10</v>
      </c>
      <c r="H51" s="79"/>
      <c r="I51" s="80"/>
      <c r="J51" s="81"/>
      <c r="K51" s="88" t="s">
        <v>102</v>
      </c>
      <c r="L51" s="81"/>
      <c r="M51" s="81"/>
      <c r="N51" s="81" t="s">
        <v>102</v>
      </c>
      <c r="O51" s="81"/>
      <c r="P51" s="65" t="s">
        <v>102</v>
      </c>
      <c r="Q51" s="81"/>
      <c r="R51" s="65" t="s">
        <v>102</v>
      </c>
      <c r="S51" s="81"/>
      <c r="T51" s="81"/>
      <c r="U51" s="81"/>
      <c r="V51" s="81"/>
      <c r="W51" s="65" t="s">
        <v>102</v>
      </c>
      <c r="X51" s="81"/>
      <c r="Y51" s="81"/>
      <c r="Z51" s="81"/>
      <c r="AA51" s="81"/>
      <c r="AB51" s="81" t="s">
        <v>102</v>
      </c>
      <c r="AC51" s="88"/>
      <c r="AD51" s="81"/>
      <c r="AE51" s="81"/>
      <c r="AF51" s="81"/>
      <c r="AG51" s="81"/>
      <c r="AH51" s="82"/>
      <c r="AI51" s="81"/>
      <c r="AJ51" s="81"/>
      <c r="AK51" s="81" t="s">
        <v>102</v>
      </c>
      <c r="AL51" s="81"/>
      <c r="AM51" s="88" t="s">
        <v>102</v>
      </c>
      <c r="AN51" s="81"/>
      <c r="AO51" s="81" t="s">
        <v>102</v>
      </c>
      <c r="AP51" s="88"/>
      <c r="AQ51" s="81"/>
      <c r="AR51" s="81"/>
      <c r="AS51" s="81"/>
      <c r="AT51" s="81"/>
      <c r="AU51" s="88"/>
      <c r="AV51" s="81"/>
      <c r="AW51" s="88" t="s">
        <v>102</v>
      </c>
      <c r="AX51" s="68">
        <f t="shared" si="3"/>
        <v>10</v>
      </c>
      <c r="AY51" s="69" t="str">
        <f t="shared" si="4"/>
        <v>David Burrows</v>
      </c>
    </row>
    <row r="52" spans="1:67 16384:16384" x14ac:dyDescent="0.2">
      <c r="A52" s="104" t="s">
        <v>286</v>
      </c>
      <c r="B52" s="104" t="s">
        <v>297</v>
      </c>
      <c r="C52" s="104" t="s">
        <v>172</v>
      </c>
      <c r="D52" s="104" t="s">
        <v>298</v>
      </c>
      <c r="E52" s="105" t="s">
        <v>289</v>
      </c>
      <c r="F52" s="77" t="s">
        <v>299</v>
      </c>
      <c r="G52" s="62">
        <f t="shared" si="2"/>
        <v>9</v>
      </c>
      <c r="H52" s="79"/>
      <c r="I52" s="80"/>
      <c r="J52" s="81"/>
      <c r="K52" s="81"/>
      <c r="L52" s="81"/>
      <c r="M52" s="81"/>
      <c r="N52" s="81"/>
      <c r="O52" s="81"/>
      <c r="P52" s="65" t="s">
        <v>102</v>
      </c>
      <c r="Q52" s="81"/>
      <c r="R52" s="65" t="s">
        <v>102</v>
      </c>
      <c r="S52" s="81"/>
      <c r="T52" s="81"/>
      <c r="U52" s="81"/>
      <c r="V52" s="81"/>
      <c r="W52" s="65" t="s">
        <v>102</v>
      </c>
      <c r="X52" s="81"/>
      <c r="Y52" s="81"/>
      <c r="Z52" s="81"/>
      <c r="AA52" s="88" t="s">
        <v>102</v>
      </c>
      <c r="AB52" s="81"/>
      <c r="AC52" s="81" t="s">
        <v>102</v>
      </c>
      <c r="AD52" s="81"/>
      <c r="AE52" s="81" t="s">
        <v>102</v>
      </c>
      <c r="AF52" s="81"/>
      <c r="AG52" s="81"/>
      <c r="AH52" s="82"/>
      <c r="AI52" s="81"/>
      <c r="AJ52" s="81" t="s">
        <v>102</v>
      </c>
      <c r="AK52" s="88"/>
      <c r="AL52" s="81"/>
      <c r="AM52" s="81"/>
      <c r="AN52" s="81"/>
      <c r="AO52" s="81"/>
      <c r="AP52" s="81"/>
      <c r="AQ52" s="88" t="s">
        <v>102</v>
      </c>
      <c r="AR52" s="81"/>
      <c r="AS52" s="81"/>
      <c r="AT52" s="81"/>
      <c r="AU52" s="81"/>
      <c r="AV52" s="88" t="s">
        <v>102</v>
      </c>
      <c r="AW52" s="81"/>
      <c r="AX52" s="68">
        <f t="shared" si="3"/>
        <v>9</v>
      </c>
      <c r="AY52" s="69" t="str">
        <f t="shared" si="4"/>
        <v>Stephen Lark</v>
      </c>
    </row>
    <row r="53" spans="1:67 16384:16384" x14ac:dyDescent="0.2">
      <c r="A53" s="107"/>
      <c r="B53" s="107"/>
      <c r="C53" s="107"/>
      <c r="D53" s="107"/>
      <c r="E53" s="108"/>
      <c r="F53" s="109"/>
      <c r="G53" s="110"/>
      <c r="H53" s="111"/>
      <c r="I53" s="112"/>
      <c r="J53" s="112"/>
      <c r="K53" s="112"/>
      <c r="L53" s="113"/>
      <c r="M53" s="112"/>
      <c r="N53" s="112"/>
      <c r="O53" s="112"/>
      <c r="P53" s="113"/>
      <c r="Q53" s="112"/>
      <c r="R53" s="113"/>
      <c r="S53" s="113"/>
      <c r="T53" s="112"/>
      <c r="U53" s="112"/>
      <c r="V53" s="112"/>
      <c r="W53" s="113"/>
      <c r="X53" s="113"/>
      <c r="Y53" s="112"/>
      <c r="Z53" s="112"/>
      <c r="AA53" s="112"/>
      <c r="AB53" s="112"/>
      <c r="AC53" s="112"/>
      <c r="AD53" s="112"/>
      <c r="AE53" s="112"/>
      <c r="AF53" s="112"/>
      <c r="AG53" s="113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3"/>
      <c r="AT53" s="112"/>
      <c r="AU53" s="112"/>
      <c r="AV53" s="112"/>
      <c r="AW53" s="112"/>
      <c r="AX53" s="114"/>
      <c r="AY53" s="115"/>
    </row>
    <row r="54" spans="1:67 16384:16384" x14ac:dyDescent="0.2">
      <c r="A54" s="104" t="s">
        <v>286</v>
      </c>
      <c r="B54" s="104" t="s">
        <v>300</v>
      </c>
      <c r="C54" s="104" t="s">
        <v>189</v>
      </c>
      <c r="D54" s="104" t="s">
        <v>301</v>
      </c>
      <c r="E54" s="105" t="s">
        <v>289</v>
      </c>
      <c r="F54" s="77" t="s">
        <v>302</v>
      </c>
      <c r="G54" s="62">
        <f t="shared" ref="G54:G65" si="5">COUNTIF(I54:AW54,"YES")</f>
        <v>14</v>
      </c>
      <c r="H54" s="79"/>
      <c r="I54" s="36" t="s">
        <v>102</v>
      </c>
      <c r="J54" s="81"/>
      <c r="K54" s="81"/>
      <c r="L54" s="81"/>
      <c r="M54" s="88" t="s">
        <v>102</v>
      </c>
      <c r="N54" s="81"/>
      <c r="O54" s="81" t="s">
        <v>102</v>
      </c>
      <c r="P54" s="65" t="s">
        <v>102</v>
      </c>
      <c r="Q54" s="81"/>
      <c r="R54" s="65" t="s">
        <v>102</v>
      </c>
      <c r="S54" s="81"/>
      <c r="T54" s="81" t="s">
        <v>102</v>
      </c>
      <c r="U54" s="88" t="s">
        <v>102</v>
      </c>
      <c r="V54" s="81"/>
      <c r="W54" s="65" t="s">
        <v>102</v>
      </c>
      <c r="X54" s="81"/>
      <c r="Y54" s="88" t="s">
        <v>102</v>
      </c>
      <c r="Z54" s="81"/>
      <c r="AA54" s="81"/>
      <c r="AB54" s="81"/>
      <c r="AC54" s="81"/>
      <c r="AD54" s="88" t="s">
        <v>102</v>
      </c>
      <c r="AE54" s="81"/>
      <c r="AF54" s="81"/>
      <c r="AG54" s="81"/>
      <c r="AH54" s="82"/>
      <c r="AI54" s="81"/>
      <c r="AJ54" s="81"/>
      <c r="AK54" s="81"/>
      <c r="AL54" s="81"/>
      <c r="AM54" s="81"/>
      <c r="AN54" s="81" t="s">
        <v>102</v>
      </c>
      <c r="AO54" s="88" t="s">
        <v>102</v>
      </c>
      <c r="AP54" s="81"/>
      <c r="AQ54" s="81"/>
      <c r="AR54" s="81"/>
      <c r="AS54" s="81" t="s">
        <v>102</v>
      </c>
      <c r="AT54" s="81"/>
      <c r="AU54" s="81"/>
      <c r="AV54" s="81" t="s">
        <v>102</v>
      </c>
      <c r="AW54" s="81"/>
      <c r="AX54" s="68">
        <f t="shared" ref="AX54:AX59" si="6">COUNTIF(H54:AW54,"YES")</f>
        <v>14</v>
      </c>
      <c r="AY54" s="69" t="str">
        <f t="shared" ref="AY54:AY59" si="7">C54&amp;" "&amp;D54</f>
        <v>Paul Davies</v>
      </c>
    </row>
    <row r="55" spans="1:67 16384:16384" x14ac:dyDescent="0.2">
      <c r="A55" s="104" t="s">
        <v>286</v>
      </c>
      <c r="B55" s="104" t="s">
        <v>303</v>
      </c>
      <c r="C55" s="104" t="s">
        <v>143</v>
      </c>
      <c r="D55" s="104" t="s">
        <v>231</v>
      </c>
      <c r="E55" s="105" t="s">
        <v>289</v>
      </c>
      <c r="F55" s="77" t="s">
        <v>304</v>
      </c>
      <c r="G55" s="62">
        <f t="shared" si="5"/>
        <v>12</v>
      </c>
      <c r="H55" s="79"/>
      <c r="I55" s="80" t="s">
        <v>102</v>
      </c>
      <c r="J55" s="81" t="s">
        <v>130</v>
      </c>
      <c r="K55" s="81"/>
      <c r="L55" s="81"/>
      <c r="M55" s="81"/>
      <c r="N55" s="88"/>
      <c r="O55" s="81"/>
      <c r="P55" s="65" t="s">
        <v>102</v>
      </c>
      <c r="Q55" s="24" t="s">
        <v>102</v>
      </c>
      <c r="R55" s="65" t="s">
        <v>102</v>
      </c>
      <c r="S55" s="24" t="s">
        <v>102</v>
      </c>
      <c r="T55" s="81"/>
      <c r="U55" s="81"/>
      <c r="V55" s="81"/>
      <c r="W55" s="65" t="s">
        <v>102</v>
      </c>
      <c r="X55" s="81"/>
      <c r="Y55" s="88"/>
      <c r="Z55" s="81"/>
      <c r="AA55" s="81"/>
      <c r="AB55" s="81"/>
      <c r="AC55" s="81" t="s">
        <v>102</v>
      </c>
      <c r="AD55" s="81"/>
      <c r="AE55" s="81"/>
      <c r="AF55" s="88" t="s">
        <v>102</v>
      </c>
      <c r="AG55" s="81"/>
      <c r="AH55" s="82"/>
      <c r="AI55" s="81" t="s">
        <v>102</v>
      </c>
      <c r="AJ55" s="81"/>
      <c r="AK55" s="81"/>
      <c r="AL55" s="81"/>
      <c r="AM55" s="81"/>
      <c r="AN55" s="81"/>
      <c r="AO55" s="88" t="s">
        <v>102</v>
      </c>
      <c r="AP55" s="81"/>
      <c r="AQ55" s="88" t="s">
        <v>102</v>
      </c>
      <c r="AR55" s="81"/>
      <c r="AS55" s="81"/>
      <c r="AT55" s="81" t="s">
        <v>102</v>
      </c>
      <c r="AU55" s="81"/>
      <c r="AV55" s="81"/>
      <c r="AW55" s="81"/>
      <c r="AX55" s="68">
        <f t="shared" si="6"/>
        <v>12</v>
      </c>
      <c r="AY55" s="69" t="str">
        <f t="shared" si="7"/>
        <v>Anthony Williams</v>
      </c>
    </row>
    <row r="56" spans="1:67 16384:16384" x14ac:dyDescent="0.2">
      <c r="A56" s="104" t="s">
        <v>286</v>
      </c>
      <c r="B56" s="104" t="s">
        <v>305</v>
      </c>
      <c r="C56" s="104" t="s">
        <v>305</v>
      </c>
      <c r="D56" s="104" t="s">
        <v>306</v>
      </c>
      <c r="E56" s="105" t="s">
        <v>289</v>
      </c>
      <c r="F56" s="77" t="s">
        <v>307</v>
      </c>
      <c r="G56" s="62">
        <f t="shared" si="5"/>
        <v>11</v>
      </c>
      <c r="H56" s="79"/>
      <c r="I56" s="80"/>
      <c r="J56" s="81"/>
      <c r="K56" s="81"/>
      <c r="L56" s="81"/>
      <c r="M56" s="81"/>
      <c r="N56" s="81"/>
      <c r="O56" s="88"/>
      <c r="P56" s="65" t="s">
        <v>102</v>
      </c>
      <c r="Q56" s="81"/>
      <c r="R56" s="65" t="s">
        <v>102</v>
      </c>
      <c r="S56" s="81" t="s">
        <v>102</v>
      </c>
      <c r="T56" s="65" t="s">
        <v>102</v>
      </c>
      <c r="U56" s="81"/>
      <c r="V56" s="116" t="s">
        <v>102</v>
      </c>
      <c r="W56" s="65" t="s">
        <v>102</v>
      </c>
      <c r="X56" s="81"/>
      <c r="Y56" s="81"/>
      <c r="Z56" s="81"/>
      <c r="AA56" s="81"/>
      <c r="AB56" s="88" t="s">
        <v>102</v>
      </c>
      <c r="AC56" s="81"/>
      <c r="AD56" s="81"/>
      <c r="AE56" s="81"/>
      <c r="AF56" s="81"/>
      <c r="AG56" s="81"/>
      <c r="AH56" s="67" t="s">
        <v>102</v>
      </c>
      <c r="AI56" s="81"/>
      <c r="AJ56" s="81" t="s">
        <v>102</v>
      </c>
      <c r="AK56" s="81"/>
      <c r="AL56" s="81"/>
      <c r="AM56" s="81"/>
      <c r="AN56" s="81"/>
      <c r="AO56" s="81"/>
      <c r="AP56" s="81"/>
      <c r="AQ56" s="81"/>
      <c r="AR56" s="81"/>
      <c r="AS56" s="81" t="s">
        <v>102</v>
      </c>
      <c r="AT56" s="81"/>
      <c r="AU56" s="88" t="s">
        <v>102</v>
      </c>
      <c r="AV56" s="81"/>
      <c r="AW56" s="81"/>
      <c r="AX56" s="68">
        <f t="shared" si="6"/>
        <v>11</v>
      </c>
      <c r="AY56" s="69" t="str">
        <f t="shared" si="7"/>
        <v>Colin Spender</v>
      </c>
    </row>
    <row r="57" spans="1:67 16384:16384" x14ac:dyDescent="0.2">
      <c r="A57" s="104" t="s">
        <v>286</v>
      </c>
      <c r="B57" s="104" t="s">
        <v>308</v>
      </c>
      <c r="C57" s="104" t="s">
        <v>185</v>
      </c>
      <c r="D57" s="104" t="s">
        <v>309</v>
      </c>
      <c r="E57" s="105" t="s">
        <v>289</v>
      </c>
      <c r="F57" s="77" t="s">
        <v>310</v>
      </c>
      <c r="G57" s="62">
        <f t="shared" si="5"/>
        <v>9</v>
      </c>
      <c r="H57" s="79"/>
      <c r="I57" s="80"/>
      <c r="J57" s="81"/>
      <c r="K57" s="81"/>
      <c r="L57" s="81"/>
      <c r="M57" s="81"/>
      <c r="N57" s="88" t="s">
        <v>102</v>
      </c>
      <c r="O57" s="81"/>
      <c r="P57" s="65" t="s">
        <v>102</v>
      </c>
      <c r="Q57" s="81"/>
      <c r="R57" s="65" t="s">
        <v>102</v>
      </c>
      <c r="S57" s="81"/>
      <c r="T57" s="81"/>
      <c r="U57" s="81"/>
      <c r="V57" s="81"/>
      <c r="W57" s="65" t="s">
        <v>102</v>
      </c>
      <c r="X57" s="81"/>
      <c r="Y57" s="81"/>
      <c r="Z57" s="81"/>
      <c r="AA57" s="81"/>
      <c r="AB57" s="81" t="s">
        <v>102</v>
      </c>
      <c r="AC57" s="81"/>
      <c r="AD57" s="88" t="s">
        <v>102</v>
      </c>
      <c r="AE57" s="81"/>
      <c r="AF57" s="81"/>
      <c r="AG57" s="81"/>
      <c r="AH57" s="82"/>
      <c r="AI57" s="81"/>
      <c r="AJ57" s="88" t="s">
        <v>102</v>
      </c>
      <c r="AK57" s="81"/>
      <c r="AL57" s="81"/>
      <c r="AM57" s="81"/>
      <c r="AN57" s="81"/>
      <c r="AO57" s="81"/>
      <c r="AP57" s="88" t="s">
        <v>102</v>
      </c>
      <c r="AQ57" s="81" t="s">
        <v>102</v>
      </c>
      <c r="AR57" s="81"/>
      <c r="AS57" s="81"/>
      <c r="AT57" s="81"/>
      <c r="AU57" s="88"/>
      <c r="AV57" s="81"/>
      <c r="AW57" s="81"/>
      <c r="AX57" s="68">
        <f t="shared" si="6"/>
        <v>9</v>
      </c>
      <c r="AY57" s="69" t="str">
        <f t="shared" si="7"/>
        <v>Christopher Clark</v>
      </c>
    </row>
    <row r="58" spans="1:67 16384:16384" x14ac:dyDescent="0.2">
      <c r="A58" s="104" t="s">
        <v>286</v>
      </c>
      <c r="B58" s="104" t="s">
        <v>116</v>
      </c>
      <c r="C58" s="104" t="s">
        <v>117</v>
      </c>
      <c r="D58" s="104" t="s">
        <v>311</v>
      </c>
      <c r="E58" s="105" t="s">
        <v>289</v>
      </c>
      <c r="F58" s="77" t="s">
        <v>312</v>
      </c>
      <c r="G58" s="62">
        <f t="shared" si="5"/>
        <v>6</v>
      </c>
      <c r="H58" s="79"/>
      <c r="I58" s="80"/>
      <c r="J58" s="81"/>
      <c r="K58" s="81"/>
      <c r="L58" s="81"/>
      <c r="M58" s="81"/>
      <c r="N58" s="81"/>
      <c r="O58" s="88" t="s">
        <v>130</v>
      </c>
      <c r="P58" s="65" t="s">
        <v>130</v>
      </c>
      <c r="Q58" s="81"/>
      <c r="R58" s="65" t="s">
        <v>102</v>
      </c>
      <c r="S58" s="81"/>
      <c r="T58" s="81"/>
      <c r="U58" s="81"/>
      <c r="V58" s="88" t="s">
        <v>102</v>
      </c>
      <c r="W58" s="65" t="s">
        <v>130</v>
      </c>
      <c r="X58" s="81"/>
      <c r="Y58" s="81"/>
      <c r="Z58" s="81"/>
      <c r="AA58" s="88" t="s">
        <v>102</v>
      </c>
      <c r="AB58" s="81"/>
      <c r="AC58" s="81"/>
      <c r="AD58" s="81"/>
      <c r="AE58" s="81"/>
      <c r="AF58" s="81"/>
      <c r="AG58" s="81"/>
      <c r="AH58" s="82"/>
      <c r="AI58" s="81"/>
      <c r="AJ58" s="88" t="s">
        <v>102</v>
      </c>
      <c r="AK58" s="81"/>
      <c r="AL58" s="81"/>
      <c r="AM58" s="81"/>
      <c r="AN58" s="81"/>
      <c r="AO58" s="81"/>
      <c r="AP58" s="88" t="s">
        <v>102</v>
      </c>
      <c r="AQ58" s="81"/>
      <c r="AR58" s="81"/>
      <c r="AS58" s="81" t="s">
        <v>102</v>
      </c>
      <c r="AT58" s="81"/>
      <c r="AU58" s="81"/>
      <c r="AV58" s="81"/>
      <c r="AW58" s="81"/>
      <c r="AX58" s="68">
        <f t="shared" si="6"/>
        <v>6</v>
      </c>
      <c r="AY58" s="69" t="str">
        <f t="shared" si="7"/>
        <v>Michael Kent</v>
      </c>
    </row>
    <row r="59" spans="1:67 16384:16384" x14ac:dyDescent="0.2">
      <c r="A59" s="104" t="s">
        <v>286</v>
      </c>
      <c r="B59" s="104" t="s">
        <v>313</v>
      </c>
      <c r="C59" s="104" t="s">
        <v>172</v>
      </c>
      <c r="D59" s="104" t="s">
        <v>314</v>
      </c>
      <c r="E59" s="105" t="s">
        <v>289</v>
      </c>
      <c r="F59" s="77" t="s">
        <v>315</v>
      </c>
      <c r="G59" s="62">
        <f t="shared" si="5"/>
        <v>10</v>
      </c>
      <c r="H59" s="79"/>
      <c r="I59" s="64" t="s">
        <v>102</v>
      </c>
      <c r="J59" s="81"/>
      <c r="K59" s="81"/>
      <c r="L59" s="81"/>
      <c r="M59" s="81"/>
      <c r="N59" s="81"/>
      <c r="O59" s="88"/>
      <c r="P59" s="65" t="s">
        <v>102</v>
      </c>
      <c r="Q59" s="81"/>
      <c r="R59" s="65" t="s">
        <v>102</v>
      </c>
      <c r="S59" s="81"/>
      <c r="T59" s="81"/>
      <c r="U59" s="81"/>
      <c r="V59" s="88" t="s">
        <v>102</v>
      </c>
      <c r="W59" s="65" t="s">
        <v>102</v>
      </c>
      <c r="X59" s="81"/>
      <c r="Y59" s="81"/>
      <c r="Z59" s="81"/>
      <c r="AA59" s="81"/>
      <c r="AB59" s="81"/>
      <c r="AC59" s="81" t="s">
        <v>102</v>
      </c>
      <c r="AD59" s="81"/>
      <c r="AE59" s="88" t="s">
        <v>102</v>
      </c>
      <c r="AF59" s="81"/>
      <c r="AG59" s="81"/>
      <c r="AH59" s="82"/>
      <c r="AI59" s="81"/>
      <c r="AJ59" s="81"/>
      <c r="AK59" s="81"/>
      <c r="AL59" s="88" t="s">
        <v>102</v>
      </c>
      <c r="AM59" s="81"/>
      <c r="AN59" s="81"/>
      <c r="AO59" s="81"/>
      <c r="AP59" s="81"/>
      <c r="AQ59" s="88"/>
      <c r="AR59" s="81"/>
      <c r="AS59" s="81" t="s">
        <v>102</v>
      </c>
      <c r="AT59" s="81"/>
      <c r="AU59" s="81"/>
      <c r="AV59" s="81"/>
      <c r="AW59" s="81" t="s">
        <v>102</v>
      </c>
      <c r="AX59" s="68">
        <f t="shared" si="6"/>
        <v>10</v>
      </c>
      <c r="AY59" s="69" t="str">
        <f t="shared" si="7"/>
        <v>Stephen Saunders</v>
      </c>
    </row>
    <row r="60" spans="1:67 16384:16384" ht="15" customHeight="1" x14ac:dyDescent="0.2">
      <c r="A60" s="117" t="s">
        <v>316</v>
      </c>
      <c r="B60" s="118" t="s">
        <v>317</v>
      </c>
      <c r="C60" s="60"/>
      <c r="D60" s="60"/>
      <c r="E60" s="60"/>
      <c r="F60" s="119" t="s">
        <v>318</v>
      </c>
      <c r="G60" s="62">
        <f t="shared" si="5"/>
        <v>5</v>
      </c>
      <c r="H60" s="39"/>
      <c r="I60" s="80"/>
      <c r="J60" s="81"/>
      <c r="K60" s="81" t="s">
        <v>102</v>
      </c>
      <c r="L60" s="81"/>
      <c r="M60" s="81"/>
      <c r="N60" s="81" t="s">
        <v>102</v>
      </c>
      <c r="O60" s="81"/>
      <c r="P60" s="81"/>
      <c r="Q60" s="81"/>
      <c r="R60" s="81"/>
      <c r="S60" s="81" t="s">
        <v>102</v>
      </c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 t="s">
        <v>102</v>
      </c>
      <c r="AF60" s="81"/>
      <c r="AG60" s="81"/>
      <c r="AH60" s="81"/>
      <c r="AI60" s="81"/>
      <c r="AJ60" s="81" t="s">
        <v>102</v>
      </c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</row>
    <row r="61" spans="1:67 16384:16384" ht="15" customHeight="1" x14ac:dyDescent="0.2">
      <c r="A61" s="118" t="s">
        <v>319</v>
      </c>
      <c r="B61" s="117" t="s">
        <v>320</v>
      </c>
      <c r="C61" s="60"/>
      <c r="D61" s="60"/>
      <c r="E61" s="60"/>
      <c r="F61" s="119" t="s">
        <v>321</v>
      </c>
      <c r="G61" s="78">
        <f t="shared" si="5"/>
        <v>5</v>
      </c>
      <c r="H61" s="39"/>
      <c r="I61" s="80"/>
      <c r="J61" s="81"/>
      <c r="K61" s="81"/>
      <c r="L61" s="81"/>
      <c r="M61" s="81"/>
      <c r="N61" s="81"/>
      <c r="O61" s="81"/>
      <c r="P61" s="81" t="s">
        <v>102</v>
      </c>
      <c r="Q61" s="81"/>
      <c r="R61" s="81"/>
      <c r="S61" s="81"/>
      <c r="T61" s="65" t="s">
        <v>102</v>
      </c>
      <c r="U61" s="81"/>
      <c r="V61" s="81"/>
      <c r="W61" s="65" t="s">
        <v>102</v>
      </c>
      <c r="X61" s="81"/>
      <c r="Y61" s="81"/>
      <c r="Z61" s="81"/>
      <c r="AA61" s="65" t="s">
        <v>102</v>
      </c>
      <c r="AB61" s="81"/>
      <c r="AC61" s="81"/>
      <c r="AD61" s="81"/>
      <c r="AE61" s="81"/>
      <c r="AF61" s="81"/>
      <c r="AG61" s="81"/>
      <c r="AH61" s="65" t="s">
        <v>102</v>
      </c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</row>
    <row r="62" spans="1:67 16384:16384" ht="15" customHeight="1" x14ac:dyDescent="0.2">
      <c r="A62" s="117" t="s">
        <v>322</v>
      </c>
      <c r="B62" s="117" t="s">
        <v>323</v>
      </c>
      <c r="C62" s="60"/>
      <c r="D62" s="60"/>
      <c r="E62" s="60"/>
      <c r="F62" s="119" t="s">
        <v>324</v>
      </c>
      <c r="G62" s="62">
        <f t="shared" si="5"/>
        <v>1</v>
      </c>
      <c r="H62" s="39"/>
      <c r="I62" s="80"/>
      <c r="J62" s="81"/>
      <c r="K62" s="81"/>
      <c r="L62" s="81"/>
      <c r="M62" s="81"/>
      <c r="N62" s="81"/>
      <c r="O62" s="81"/>
      <c r="P62" s="81" t="s">
        <v>102</v>
      </c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</row>
    <row r="63" spans="1:67 16384:16384" ht="15" customHeight="1" x14ac:dyDescent="0.2">
      <c r="A63" s="117" t="s">
        <v>325</v>
      </c>
      <c r="B63" s="117" t="s">
        <v>326</v>
      </c>
      <c r="C63" s="60"/>
      <c r="D63" s="60"/>
      <c r="E63" s="60"/>
      <c r="F63" s="60" t="s">
        <v>327</v>
      </c>
      <c r="G63" s="62">
        <f t="shared" si="5"/>
        <v>2</v>
      </c>
      <c r="H63" s="39"/>
      <c r="I63" s="80"/>
      <c r="J63" s="81"/>
      <c r="K63" s="81"/>
      <c r="L63" s="24" t="s">
        <v>102</v>
      </c>
      <c r="M63" s="24" t="s">
        <v>102</v>
      </c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</row>
    <row r="64" spans="1:67 16384:16384" s="123" customFormat="1" x14ac:dyDescent="0.2">
      <c r="A64" s="117" t="s">
        <v>328</v>
      </c>
      <c r="B64" s="117" t="s">
        <v>329</v>
      </c>
      <c r="C64" s="60"/>
      <c r="D64" s="75"/>
      <c r="E64" s="75"/>
      <c r="F64" s="119" t="s">
        <v>330</v>
      </c>
      <c r="G64" s="62">
        <f t="shared" si="5"/>
        <v>0</v>
      </c>
      <c r="H64" s="120"/>
      <c r="I64" s="121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  <c r="AL64" s="120"/>
      <c r="AM64" s="120"/>
      <c r="AN64" s="120"/>
      <c r="AO64" s="120"/>
      <c r="AP64" s="120"/>
      <c r="AQ64" s="120"/>
      <c r="AR64" s="120"/>
      <c r="AS64" s="120"/>
      <c r="AT64" s="120"/>
      <c r="AU64" s="120"/>
      <c r="AV64" s="120"/>
      <c r="AW64" s="120"/>
      <c r="AX64" s="122"/>
      <c r="BO64"/>
      <c r="XFD64"/>
    </row>
    <row r="65" spans="1:50" ht="15" customHeight="1" x14ac:dyDescent="0.2">
      <c r="A65" s="117" t="s">
        <v>331</v>
      </c>
      <c r="B65" s="60" t="s">
        <v>332</v>
      </c>
      <c r="C65" s="60"/>
      <c r="D65" s="60"/>
      <c r="E65" s="60"/>
      <c r="F65" s="124" t="s">
        <v>333</v>
      </c>
      <c r="G65" s="62">
        <f t="shared" si="5"/>
        <v>9</v>
      </c>
      <c r="H65" s="39"/>
      <c r="I65" s="64" t="s">
        <v>102</v>
      </c>
      <c r="J65" s="88" t="s">
        <v>102</v>
      </c>
      <c r="K65" s="81"/>
      <c r="L65" s="81"/>
      <c r="M65" s="88" t="s">
        <v>130</v>
      </c>
      <c r="N65" s="81" t="s">
        <v>130</v>
      </c>
      <c r="O65" s="88" t="s">
        <v>102</v>
      </c>
      <c r="P65" s="88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8" t="s">
        <v>102</v>
      </c>
      <c r="AD65" s="81"/>
      <c r="AE65" s="81"/>
      <c r="AF65" s="81"/>
      <c r="AG65" s="88" t="s">
        <v>102</v>
      </c>
      <c r="AH65" s="81"/>
      <c r="AI65" s="81"/>
      <c r="AJ65" s="81"/>
      <c r="AK65" s="88" t="s">
        <v>102</v>
      </c>
      <c r="AL65" s="81"/>
      <c r="AM65" s="81"/>
      <c r="AN65" s="81"/>
      <c r="AO65" s="81"/>
      <c r="AP65" s="81"/>
      <c r="AQ65" s="88" t="s">
        <v>102</v>
      </c>
      <c r="AR65" s="88" t="s">
        <v>102</v>
      </c>
      <c r="AS65" s="81"/>
      <c r="AT65" s="81"/>
      <c r="AU65" s="81"/>
      <c r="AV65" s="81"/>
      <c r="AW65" s="88" t="s">
        <v>102</v>
      </c>
      <c r="AX65" s="81"/>
    </row>
    <row r="66" spans="1:50" ht="15" customHeight="1" x14ac:dyDescent="0.2">
      <c r="A66" s="129" t="s">
        <v>331</v>
      </c>
      <c r="B66" t="s">
        <v>334</v>
      </c>
      <c r="F66" s="3" t="s">
        <v>335</v>
      </c>
      <c r="O66" s="88" t="s">
        <v>102</v>
      </c>
      <c r="AC66" s="2" t="s">
        <v>102</v>
      </c>
    </row>
    <row r="68" spans="1:50" ht="15" customHeight="1" x14ac:dyDescent="0.2">
      <c r="B68" s="125"/>
      <c r="F68"/>
    </row>
  </sheetData>
  <mergeCells count="2">
    <mergeCell ref="G7:H7"/>
    <mergeCell ref="G9:G10"/>
  </mergeCells>
  <hyperlinks>
    <hyperlink ref="F11" r:id="rId1" xr:uid="{00000000-0004-0000-0000-000000000000}"/>
    <hyperlink ref="F13" r:id="rId2" xr:uid="{00000000-0004-0000-0000-000001000000}"/>
    <hyperlink ref="F15" r:id="rId3" xr:uid="{00000000-0004-0000-0000-000002000000}"/>
    <hyperlink ref="F18" r:id="rId4" xr:uid="{00000000-0004-0000-0000-000003000000}"/>
    <hyperlink ref="F19" r:id="rId5" xr:uid="{00000000-0004-0000-0000-000004000000}"/>
    <hyperlink ref="F26" r:id="rId6" xr:uid="{00000000-0004-0000-0000-000005000000}"/>
    <hyperlink ref="F27" r:id="rId7" xr:uid="{00000000-0004-0000-0000-000006000000}"/>
    <hyperlink ref="F28" r:id="rId8" xr:uid="{00000000-0004-0000-0000-000007000000}"/>
    <hyperlink ref="F60" r:id="rId9" xr:uid="{00000000-0004-0000-0000-000008000000}"/>
    <hyperlink ref="F61" r:id="rId10" xr:uid="{00000000-0004-0000-0000-000009000000}"/>
    <hyperlink ref="F62" r:id="rId11" xr:uid="{00000000-0004-0000-0000-00000A000000}"/>
    <hyperlink ref="F63" r:id="rId12" xr:uid="{00000000-0004-0000-0000-00000B000000}"/>
    <hyperlink ref="F64" r:id="rId13" xr:uid="{00000000-0004-0000-0000-00000C000000}"/>
  </hyperlinks>
  <pageMargins left="0.7" right="0.7" top="0.75" bottom="0.75" header="0.511811023622047" footer="0.511811023622047"/>
  <pageSetup paperSize="9" scale="14" orientation="landscape" horizontalDpi="300" verticalDpi="300" r:id="rId14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60"/>
  <sheetViews>
    <sheetView zoomScale="75" zoomScaleNormal="75" workbookViewId="0">
      <selection activeCell="O20" activeCellId="1" sqref="A53:XFD53 O20"/>
    </sheetView>
  </sheetViews>
  <sheetFormatPr baseColWidth="10" defaultColWidth="8.83203125" defaultRowHeight="15" customHeight="1" x14ac:dyDescent="0.2"/>
  <cols>
    <col min="1" max="1" width="16.1640625" customWidth="1"/>
    <col min="2" max="2" width="40.1640625" customWidth="1"/>
    <col min="3" max="3" width="12" customWidth="1"/>
    <col min="4" max="4" width="18.5" customWidth="1"/>
    <col min="5" max="5" width="28" customWidth="1"/>
    <col min="6" max="7" width="21.5" customWidth="1"/>
    <col min="8" max="8" width="18.5" customWidth="1"/>
    <col min="9" max="9" width="20.1640625" customWidth="1"/>
  </cols>
  <sheetData>
    <row r="2" x14ac:dyDescent="0.2"/>
    <row r="3" x14ac:dyDescent="0.2"/>
    <row r="4" x14ac:dyDescent="0.2"/>
    <row r="5" x14ac:dyDescent="0.2"/>
    <row r="6" x14ac:dyDescent="0.2"/>
    <row r="7" x14ac:dyDescent="0.2"/>
    <row r="8" x14ac:dyDescent="0.2"/>
    <row r="9" x14ac:dyDescent="0.2"/>
    <row r="10" x14ac:dyDescent="0.2"/>
    <row r="11" x14ac:dyDescent="0.2"/>
    <row r="12" x14ac:dyDescent="0.2"/>
    <row r="13" x14ac:dyDescent="0.2"/>
    <row r="14" x14ac:dyDescent="0.2"/>
    <row r="15" x14ac:dyDescent="0.2"/>
    <row r="16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4153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Matrix 2025-26</vt:lpstr>
      <vt:lpstr>Visit DC, ADC, SwdB, StdB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Ingram</dc:creator>
  <dc:description/>
  <cp:lastModifiedBy>Kevin Turner</cp:lastModifiedBy>
  <cp:revision>106</cp:revision>
  <cp:lastPrinted>2025-10-30T11:53:58Z</cp:lastPrinted>
  <dcterms:created xsi:type="dcterms:W3CDTF">2025-05-05T15:08:21Z</dcterms:created>
  <dcterms:modified xsi:type="dcterms:W3CDTF">2026-07-17T08:31:42Z</dcterms:modified>
  <dc:language>en-GB</dc:language>
</cp:coreProperties>
</file>