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d99dbe784a36402/Desktop/OV matrix 26-27/"/>
    </mc:Choice>
  </mc:AlternateContent>
  <xr:revisionPtr revIDLastSave="1" documentId="8_{9727AD12-8D45-4440-AA47-073C1FFF29ED}" xr6:coauthVersionLast="47" xr6:coauthVersionMax="47" xr10:uidLastSave="{A6CBB14A-7359-41FC-BB7D-2F4B4706D2EF}"/>
  <bookViews>
    <workbookView xWindow="-120" yWindow="-120" windowWidth="29040" windowHeight="15720" tabRatio="500" xr2:uid="{FA0C5B21-D744-41D8-A854-64181BC35FE8}"/>
  </bookViews>
  <sheets>
    <sheet name="2026-2027 Official Visits" sheetId="1" r:id="rId1"/>
    <sheet name="Contact Details" sheetId="2" r:id="rId2"/>
  </sheets>
  <definedNames>
    <definedName name="_xlnm._FilterDatabase" localSheetId="0" hidden="1">'2026-2027 Official Visits'!$A$2:$AO$62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" i="1" l="1"/>
  <c r="I7" i="1"/>
  <c r="Q7" i="1"/>
  <c r="X7" i="1"/>
  <c r="E56" i="1"/>
  <c r="E57" i="1"/>
  <c r="AN56" i="1"/>
  <c r="AN57" i="1"/>
  <c r="AN58" i="1"/>
  <c r="AO56" i="1"/>
  <c r="AO60" i="1"/>
  <c r="AO61" i="1"/>
  <c r="AO62" i="1"/>
  <c r="G7" i="1"/>
  <c r="H7" i="1"/>
  <c r="J7" i="1"/>
  <c r="K7" i="1"/>
  <c r="L7" i="1"/>
  <c r="M7" i="1"/>
  <c r="N7" i="1"/>
  <c r="O7" i="1"/>
  <c r="P7" i="1"/>
  <c r="R7" i="1"/>
  <c r="S7" i="1"/>
  <c r="T7" i="1"/>
  <c r="U7" i="1"/>
  <c r="W7" i="1"/>
  <c r="Y7" i="1"/>
  <c r="Z7" i="1"/>
  <c r="AA7" i="1"/>
  <c r="AB7" i="1"/>
  <c r="AC7" i="1"/>
  <c r="AD7" i="1"/>
  <c r="AF7" i="1"/>
  <c r="AG7" i="1"/>
  <c r="AH7" i="1"/>
  <c r="AI7" i="1"/>
  <c r="AJ7" i="1"/>
  <c r="V7" i="1"/>
  <c r="AL7" i="1"/>
  <c r="AM7" i="1"/>
  <c r="F7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9" i="1"/>
  <c r="AN60" i="1"/>
  <c r="AN61" i="1"/>
  <c r="AN62" i="1"/>
  <c r="AN10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8" i="1"/>
  <c r="E59" i="1"/>
  <c r="E60" i="1"/>
  <c r="E61" i="1"/>
  <c r="E62" i="1"/>
  <c r="AO59" i="1"/>
  <c r="AO58" i="1"/>
  <c r="AO57" i="1"/>
  <c r="E10" i="1"/>
  <c r="AO10" i="1"/>
  <c r="E11" i="1"/>
  <c r="AO11" i="1"/>
  <c r="E12" i="1"/>
  <c r="AO12" i="1"/>
  <c r="E13" i="1"/>
  <c r="AO13" i="1"/>
  <c r="E14" i="1"/>
  <c r="AO14" i="1"/>
  <c r="E15" i="1"/>
  <c r="AO15" i="1"/>
  <c r="E16" i="1"/>
  <c r="AO16" i="1"/>
  <c r="E17" i="1"/>
  <c r="AO17" i="1"/>
  <c r="E18" i="1"/>
  <c r="AO18" i="1"/>
  <c r="E19" i="1"/>
  <c r="AO19" i="1"/>
  <c r="E20" i="1"/>
  <c r="AO20" i="1"/>
  <c r="E21" i="1"/>
  <c r="AO21" i="1"/>
  <c r="E22" i="1"/>
  <c r="AO22" i="1"/>
  <c r="E23" i="1"/>
  <c r="AO23" i="1"/>
  <c r="E24" i="1"/>
  <c r="AO24" i="1"/>
  <c r="E25" i="1"/>
  <c r="AO25" i="1"/>
  <c r="E26" i="1"/>
  <c r="AO26" i="1"/>
  <c r="E27" i="1"/>
  <c r="AO27" i="1"/>
  <c r="E28" i="1"/>
  <c r="AO28" i="1"/>
  <c r="E29" i="1"/>
  <c r="AO29" i="1"/>
  <c r="E30" i="1"/>
  <c r="AO30" i="1"/>
  <c r="E31" i="1"/>
  <c r="AO31" i="1"/>
  <c r="E32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Conway-Holland</author>
  </authors>
  <commentList>
    <comment ref="Q5" authorId="0" shapeId="0" xr:uid="{5EE4C433-7D5D-47EE-8D81-A7A9CB00D814}">
      <text>
        <r>
          <rPr>
            <b/>
            <sz val="9"/>
            <color indexed="81"/>
            <rFont val="Tahoma"/>
            <family val="2"/>
          </rPr>
          <t>To be confirmed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<sst xmlns="http://schemas.openxmlformats.org/spreadsheetml/2006/main" count="1542" uniqueCount="570">
  <si>
    <t>Name</t>
  </si>
  <si>
    <t>Number</t>
  </si>
  <si>
    <t>Location</t>
  </si>
  <si>
    <t>Winchester</t>
  </si>
  <si>
    <t>Petersfield</t>
  </si>
  <si>
    <t>Farnborough</t>
  </si>
  <si>
    <t>Havant</t>
  </si>
  <si>
    <t>Gosport</t>
  </si>
  <si>
    <t>Southampton</t>
  </si>
  <si>
    <t>Totton</t>
  </si>
  <si>
    <t>Portsmouth</t>
  </si>
  <si>
    <t>Bournemouth</t>
  </si>
  <si>
    <t>Woolston</t>
  </si>
  <si>
    <t>Horndean</t>
  </si>
  <si>
    <t>MEGS</t>
  </si>
  <si>
    <t>VIP</t>
  </si>
  <si>
    <t>Date of Visit</t>
  </si>
  <si>
    <t>DC</t>
  </si>
  <si>
    <t>StdB</t>
  </si>
  <si>
    <t>Area</t>
  </si>
  <si>
    <t>SOL</t>
  </si>
  <si>
    <t>NCA</t>
  </si>
  <si>
    <t>SEA</t>
  </si>
  <si>
    <t>NEA</t>
  </si>
  <si>
    <t>SWA</t>
  </si>
  <si>
    <t>SCA</t>
  </si>
  <si>
    <t>ADC</t>
  </si>
  <si>
    <t>SwdB</t>
  </si>
  <si>
    <t>Jonathan</t>
  </si>
  <si>
    <t>Whitaker</t>
  </si>
  <si>
    <t>YES</t>
  </si>
  <si>
    <t>James</t>
  </si>
  <si>
    <t>Kneller</t>
  </si>
  <si>
    <t>Second Provincial Grand Principal</t>
  </si>
  <si>
    <t>Third Provincial Grand Principal</t>
  </si>
  <si>
    <t>Assistant to the Provincial Grand Principals</t>
  </si>
  <si>
    <t>APGP</t>
  </si>
  <si>
    <t>Simon Edward</t>
  </si>
  <si>
    <t>Banham</t>
  </si>
  <si>
    <t>Adrian Colin</t>
  </si>
  <si>
    <t>Fretter</t>
  </si>
  <si>
    <t>Provincial Grand Scribe E</t>
  </si>
  <si>
    <t>David Leslie</t>
  </si>
  <si>
    <t>David</t>
  </si>
  <si>
    <t>Ryan</t>
  </si>
  <si>
    <t>ProvGSE</t>
  </si>
  <si>
    <t>Provincial Grand Scribe N</t>
  </si>
  <si>
    <t>ProvGSN</t>
  </si>
  <si>
    <t>Provincial Grand Treasurer</t>
  </si>
  <si>
    <t>Anthony John</t>
  </si>
  <si>
    <t>Denton</t>
  </si>
  <si>
    <t>ProvGTreas</t>
  </si>
  <si>
    <t>Provincial Grand Registrar</t>
  </si>
  <si>
    <t>Griffiths</t>
  </si>
  <si>
    <t>ProvGReg</t>
  </si>
  <si>
    <t>Provincial Grand Director of Ceremonies</t>
  </si>
  <si>
    <t>Ingram</t>
  </si>
  <si>
    <t>ProvGDC</t>
  </si>
  <si>
    <t>Provincial Grand Sword Bearer</t>
  </si>
  <si>
    <t>ProvGSwdB</t>
  </si>
  <si>
    <t>Provincial Deputy Grand Registrar</t>
  </si>
  <si>
    <t>John</t>
  </si>
  <si>
    <t>ProvDepGReg</t>
  </si>
  <si>
    <t>Provincial Deputy Grand Scribe E</t>
  </si>
  <si>
    <t>ProvDepGSE</t>
  </si>
  <si>
    <t>Provincial Deputy Grand Director of Ceremonies</t>
  </si>
  <si>
    <t>ProvDepGDC</t>
  </si>
  <si>
    <t>Latter</t>
  </si>
  <si>
    <t>Wolohan</t>
  </si>
  <si>
    <t>Provincial Deputy Grand Sword Bearer</t>
  </si>
  <si>
    <t>Paul</t>
  </si>
  <si>
    <t>ProvDepGSwdB</t>
  </si>
  <si>
    <t>Provincial Grand Almoner</t>
  </si>
  <si>
    <t>Malcolm</t>
  </si>
  <si>
    <t>Collier</t>
  </si>
  <si>
    <t>ProvGAlm</t>
  </si>
  <si>
    <t>Provincial Grand Charity Steward</t>
  </si>
  <si>
    <t>Wood</t>
  </si>
  <si>
    <t>ProvGChStwd</t>
  </si>
  <si>
    <t>Provincial Grand Membership Officer</t>
  </si>
  <si>
    <t>Andrew Mark</t>
  </si>
  <si>
    <t>Andrew</t>
  </si>
  <si>
    <t>Fuller</t>
  </si>
  <si>
    <t>ProvGMO</t>
  </si>
  <si>
    <t>Provincial Grand Communications Officer</t>
  </si>
  <si>
    <t>ProvGCO</t>
  </si>
  <si>
    <t>Provincial Grand Mentor</t>
  </si>
  <si>
    <t>Glyn</t>
  </si>
  <si>
    <t>Evans</t>
  </si>
  <si>
    <t>ProvGMen</t>
  </si>
  <si>
    <t>Provincial Grand Sojourner</t>
  </si>
  <si>
    <t>ProvGSoj</t>
  </si>
  <si>
    <t>Provincial 1st Assistant Grand Sojourner</t>
  </si>
  <si>
    <t>Prov1stAGSoj</t>
  </si>
  <si>
    <t>Provincial 2nd Assistant Grand Sojourner</t>
  </si>
  <si>
    <t>Prov2ndAGSoj</t>
  </si>
  <si>
    <t>Provincial Grand Standard Bearer</t>
  </si>
  <si>
    <t>Martin</t>
  </si>
  <si>
    <t>ProvGStB</t>
  </si>
  <si>
    <t>Kevin</t>
  </si>
  <si>
    <t>Provincial Grand Organist</t>
  </si>
  <si>
    <t>Morris</t>
  </si>
  <si>
    <t>ProvGOrg</t>
  </si>
  <si>
    <t>Provincial Assistant Grand Director of Ceremonies</t>
  </si>
  <si>
    <t>ProvAGDC</t>
  </si>
  <si>
    <t>Provincial Grand Janitor</t>
  </si>
  <si>
    <t>Hutchins</t>
  </si>
  <si>
    <t>ProvGJan</t>
  </si>
  <si>
    <t>Provincial Grand Steward</t>
  </si>
  <si>
    <t>ProvGStwd</t>
  </si>
  <si>
    <t>Davies</t>
  </si>
  <si>
    <t>Solent Area Chairman</t>
  </si>
  <si>
    <t>Preece</t>
  </si>
  <si>
    <t>DepGSupt</t>
  </si>
  <si>
    <t>2ndPGP</t>
  </si>
  <si>
    <t>3RDPGP</t>
  </si>
  <si>
    <t>Ward</t>
  </si>
  <si>
    <t>OV No.</t>
  </si>
  <si>
    <t>No. of Visits</t>
  </si>
  <si>
    <t>No. in Team</t>
  </si>
  <si>
    <t>Old Portmuthian</t>
  </si>
  <si>
    <t>Richard Taunton</t>
  </si>
  <si>
    <t>Football Consecration</t>
  </si>
  <si>
    <t>Yarborough</t>
  </si>
  <si>
    <t>Albany</t>
  </si>
  <si>
    <t>Landport</t>
  </si>
  <si>
    <t xml:space="preserve">Lee Britten </t>
  </si>
  <si>
    <t xml:space="preserve">Panmure </t>
  </si>
  <si>
    <t>Chapter of Concord</t>
  </si>
  <si>
    <t>Octa</t>
  </si>
  <si>
    <t>Albert Edward</t>
  </si>
  <si>
    <t>Prytaneion</t>
  </si>
  <si>
    <t xml:space="preserve">Woolmer Forest </t>
  </si>
  <si>
    <t xml:space="preserve">St. George's </t>
  </si>
  <si>
    <t>Wilfrid Attenborough</t>
  </si>
  <si>
    <t xml:space="preserve">St Mary </t>
  </si>
  <si>
    <t xml:space="preserve">Vectensian </t>
  </si>
  <si>
    <t>New Forest</t>
  </si>
  <si>
    <t xml:space="preserve">IoW 1st Principals </t>
  </si>
  <si>
    <t>Chapter of Friendship</t>
  </si>
  <si>
    <t xml:space="preserve">St John's </t>
  </si>
  <si>
    <t xml:space="preserve">Vale of Itchen </t>
  </si>
  <si>
    <t>Chapter of Economy</t>
  </si>
  <si>
    <t xml:space="preserve">Southbourne </t>
  </si>
  <si>
    <t xml:space="preserve">Brook House </t>
  </si>
  <si>
    <t xml:space="preserve">Carnarvon </t>
  </si>
  <si>
    <t xml:space="preserve">Alverstoke </t>
  </si>
  <si>
    <t>Aldershot</t>
  </si>
  <si>
    <t>Chandlers Ford</t>
  </si>
  <si>
    <t>Bordon</t>
  </si>
  <si>
    <t>Ryde</t>
  </si>
  <si>
    <t>Lymington</t>
  </si>
  <si>
    <t>East Cowes</t>
  </si>
  <si>
    <t>Eastleigh</t>
  </si>
  <si>
    <t>Botley</t>
  </si>
  <si>
    <t>Ventnor IoW</t>
  </si>
  <si>
    <t>Newport IoW</t>
  </si>
  <si>
    <t>Eastleigh FC</t>
  </si>
  <si>
    <t>Provincial AGM</t>
  </si>
  <si>
    <t>North Central Area Chairman</t>
  </si>
  <si>
    <t>North East Area Chairman</t>
  </si>
  <si>
    <t>South Central Area Chairman</t>
  </si>
  <si>
    <t>South East Area Chairman</t>
  </si>
  <si>
    <t>South West Area Chairman</t>
  </si>
  <si>
    <t>Alton</t>
  </si>
  <si>
    <t>Horndean C. of Harmony</t>
  </si>
  <si>
    <t xml:space="preserve">Horndean  </t>
  </si>
  <si>
    <t>Donoghue</t>
  </si>
  <si>
    <t>Fellows</t>
  </si>
  <si>
    <t>Wilson</t>
  </si>
  <si>
    <t>Legg</t>
  </si>
  <si>
    <t>Duarte</t>
  </si>
  <si>
    <t>Offord</t>
  </si>
  <si>
    <t>Dean</t>
  </si>
  <si>
    <t>Stewart</t>
  </si>
  <si>
    <t>Bailey</t>
  </si>
  <si>
    <t>Hodges</t>
  </si>
  <si>
    <t>Sams</t>
  </si>
  <si>
    <t>Buck</t>
  </si>
  <si>
    <t>Fields</t>
  </si>
  <si>
    <t>Swallow</t>
  </si>
  <si>
    <t xml:space="preserve">Hill </t>
  </si>
  <si>
    <t>Curnow</t>
  </si>
  <si>
    <t>White</t>
  </si>
  <si>
    <t>Connolly</t>
  </si>
  <si>
    <t>Abraham</t>
  </si>
  <si>
    <t>Wilkinson</t>
  </si>
  <si>
    <t>Madden</t>
  </si>
  <si>
    <t>Smith</t>
  </si>
  <si>
    <t>Setterfield</t>
  </si>
  <si>
    <t>Morgan</t>
  </si>
  <si>
    <t>McLennan</t>
  </si>
  <si>
    <t>Venn</t>
  </si>
  <si>
    <t>Michael Graham</t>
  </si>
  <si>
    <t>Robert Shane</t>
  </si>
  <si>
    <t>Mark James</t>
  </si>
  <si>
    <t>Rodrigo Javier</t>
  </si>
  <si>
    <t>Philip Andrew</t>
  </si>
  <si>
    <t>Alan Vernon</t>
  </si>
  <si>
    <t>Nigel Howard</t>
  </si>
  <si>
    <t>Gifton Roy</t>
  </si>
  <si>
    <t>Andrew Charles</t>
  </si>
  <si>
    <t>Carl Jonathan Charles</t>
  </si>
  <si>
    <t>Peter Richard</t>
  </si>
  <si>
    <t>Anthony Thomas</t>
  </si>
  <si>
    <t>Jason Michael</t>
  </si>
  <si>
    <t>Neil John</t>
  </si>
  <si>
    <t>James Martin</t>
  </si>
  <si>
    <t>Richard Michael</t>
  </si>
  <si>
    <t>Stephen Mark</t>
  </si>
  <si>
    <t>George David</t>
  </si>
  <si>
    <t>Stephen Paul</t>
  </si>
  <si>
    <t>Raymond Hamilton</t>
  </si>
  <si>
    <t>Christopher James</t>
  </si>
  <si>
    <t>Stephen John</t>
  </si>
  <si>
    <t>Alexander Paul</t>
  </si>
  <si>
    <t>Andrew David</t>
  </si>
  <si>
    <r>
      <rPr>
        <i/>
        <sz val="10"/>
        <color rgb="FF000000"/>
        <rFont val="Arial"/>
        <family val="2"/>
      </rPr>
      <t>(James</t>
    </r>
    <r>
      <rPr>
        <sz val="11"/>
        <color indexed="8"/>
        <rFont val="Arial"/>
        <family val="2"/>
        <charset val="1"/>
      </rPr>
      <t>) Ian</t>
    </r>
  </si>
  <si>
    <t>Mid Wessex C of Inst 1st P's</t>
  </si>
  <si>
    <t>Powney Consecration</t>
  </si>
  <si>
    <t>Deputy Grand Superintendent</t>
  </si>
  <si>
    <t>Given Name</t>
  </si>
  <si>
    <t>Post Nominals</t>
  </si>
  <si>
    <t>Initials</t>
  </si>
  <si>
    <t>Familiar Name</t>
  </si>
  <si>
    <t>Masonic Prefix</t>
  </si>
  <si>
    <t>Alternate Phone No.</t>
  </si>
  <si>
    <t>Preferred Phone No.</t>
  </si>
  <si>
    <t>Primary Email</t>
  </si>
  <si>
    <t>Mail Preference</t>
  </si>
  <si>
    <t>RYAN</t>
  </si>
  <si>
    <t>DL</t>
  </si>
  <si>
    <t>E Comp</t>
  </si>
  <si>
    <t>07904 975194</t>
  </si>
  <si>
    <t>david.ryan@hantsmasons.org</t>
  </si>
  <si>
    <t>31 Park Road, Chandler's Ford, Eastleigh, Hampshire, SO53 2EW, United Kingdom</t>
  </si>
  <si>
    <t>DONOGHUE</t>
  </si>
  <si>
    <t>J</t>
  </si>
  <si>
    <t>07861 748507</t>
  </si>
  <si>
    <t>jdgaffer40@gmail.com</t>
  </si>
  <si>
    <t>73 Mimosa Avenue, Merley, Wimborne, Dorset, BH21 1TU, United Kingdom</t>
  </si>
  <si>
    <t>DENTON</t>
  </si>
  <si>
    <t>AJ</t>
  </si>
  <si>
    <t>Tony</t>
  </si>
  <si>
    <t>02392 040044</t>
  </si>
  <si>
    <t>07948 777007</t>
  </si>
  <si>
    <t>tdenton888@gmail.com</t>
  </si>
  <si>
    <t>Old Blandings, 52 Hollybank Lane, Emsworth, PO10 7UE, United Kingdom</t>
  </si>
  <si>
    <t>Ronald John</t>
  </si>
  <si>
    <t>GRIFFITHS</t>
  </si>
  <si>
    <t>RJ</t>
  </si>
  <si>
    <t>Ron</t>
  </si>
  <si>
    <t>07901 852700</t>
  </si>
  <si>
    <t>ron.griffiths3@btinternet.com</t>
  </si>
  <si>
    <t>1 Franklyn Avenue, Southampton, SO19 8AN, United Kingdom</t>
  </si>
  <si>
    <t>Michael John</t>
  </si>
  <si>
    <t>INGRAM</t>
  </si>
  <si>
    <t>MJ</t>
  </si>
  <si>
    <t>Mike</t>
  </si>
  <si>
    <t>01252 659799</t>
  </si>
  <si>
    <t>07860 425988</t>
  </si>
  <si>
    <t>michaelingram44@gmail.com</t>
  </si>
  <si>
    <t>44 Dukes Mead, Fleet, Hampshire, GU51 4HE, United Kingdom</t>
  </si>
  <si>
    <t>HILTON</t>
  </si>
  <si>
    <t>MBE, RN</t>
  </si>
  <si>
    <t>D</t>
  </si>
  <si>
    <t>01983 615654</t>
  </si>
  <si>
    <t>07580 658813</t>
  </si>
  <si>
    <t>david7852@btinternet.com</t>
  </si>
  <si>
    <t>6 The Old Forge Close, Ryde, Isle of Wight, PO33 3PL, United Kingdom</t>
  </si>
  <si>
    <t>Paul Thomas</t>
  </si>
  <si>
    <t>DAVIES</t>
  </si>
  <si>
    <t>PT</t>
  </si>
  <si>
    <t>07795 148378</t>
  </si>
  <si>
    <t>paultdavies@sky.com</t>
  </si>
  <si>
    <t>65 The Avenue, Fareham, Hampshire, PO14 1PE, United Kingdom</t>
  </si>
  <si>
    <t>FELLOWS</t>
  </si>
  <si>
    <t>MG</t>
  </si>
  <si>
    <t>01329 282989</t>
  </si>
  <si>
    <t>07810 636643</t>
  </si>
  <si>
    <t>mike.fellows1@btinternet.com</t>
  </si>
  <si>
    <t>9 Peacock Close, Cams Bay, Downend, Fareham, Hampshire, PO16 8YG, United Kingdom</t>
  </si>
  <si>
    <t>Anthony William</t>
  </si>
  <si>
    <t>LATTER</t>
  </si>
  <si>
    <t>AW</t>
  </si>
  <si>
    <t>01983 567009</t>
  </si>
  <si>
    <t>07875 534129</t>
  </si>
  <si>
    <t>tonylatter63@gmail.com</t>
  </si>
  <si>
    <t>Cherrytrees, Gatehouse Road, Upton Cross, Ryde, Isle of Wight, PO33 4BS, United Kingdom</t>
  </si>
  <si>
    <t>Christopher John</t>
  </si>
  <si>
    <t>WOLOHAN</t>
  </si>
  <si>
    <t>CJ</t>
  </si>
  <si>
    <t>Chris</t>
  </si>
  <si>
    <t>07971 551717</t>
  </si>
  <si>
    <t>cjwolohan@googlemail.com</t>
  </si>
  <si>
    <t>The Ferns, Knellers Lane, Totton, Southampton, Hampshire, SO40 7EB, United Kingdom</t>
  </si>
  <si>
    <t>WILSON</t>
  </si>
  <si>
    <t>RS</t>
  </si>
  <si>
    <t>Rob</t>
  </si>
  <si>
    <t>01489 781029</t>
  </si>
  <si>
    <t>07711 551792</t>
  </si>
  <si>
    <t>the.wilsonfamily@btinternet.com</t>
  </si>
  <si>
    <t>51 Elliot Rise, Hedge End, Southampton, Hampshire, SO30 2RW, United Kingdom</t>
  </si>
  <si>
    <t>LEGG</t>
  </si>
  <si>
    <t>Mark</t>
  </si>
  <si>
    <t>07824598280</t>
  </si>
  <si>
    <t>07824 568280</t>
  </si>
  <si>
    <t>leggmj@hotmail.com</t>
  </si>
  <si>
    <t>16 Archery Grove, Southampton, Hampshire, SO19 9EY, United Kingdom</t>
  </si>
  <si>
    <t>Malcolm James</t>
  </si>
  <si>
    <t>COLLIER</t>
  </si>
  <si>
    <t>02380 892557</t>
  </si>
  <si>
    <t>07736 775681</t>
  </si>
  <si>
    <t>malcolm.collier@btinternet.com</t>
  </si>
  <si>
    <t>Tejeda, Forge Road, Blackfield, Southampton, Hampshire, SO45 1XS, United Kingdom</t>
  </si>
  <si>
    <t>David Robert</t>
  </si>
  <si>
    <t>WOOD</t>
  </si>
  <si>
    <t>DR</t>
  </si>
  <si>
    <t>01983 864616</t>
  </si>
  <si>
    <t>07973 685198</t>
  </si>
  <si>
    <t>dwjw1@aol.com</t>
  </si>
  <si>
    <t>Four Boys, Peacock Close, Shanklin, Isle of Wight, PO37 6NB, United Kingdom</t>
  </si>
  <si>
    <t>FULLER</t>
  </si>
  <si>
    <t>AM</t>
  </si>
  <si>
    <t>Andy</t>
  </si>
  <si>
    <t>07855 955620</t>
  </si>
  <si>
    <t>andrewfuller999@hotmail.co.uk</t>
  </si>
  <si>
    <t>31 Mayfair Gardens, Southampton, SO15 2TW, United Kingdom</t>
  </si>
  <si>
    <t>Glyn David</t>
  </si>
  <si>
    <t>EVANS</t>
  </si>
  <si>
    <t>GD</t>
  </si>
  <si>
    <t>01329 510806</t>
  </si>
  <si>
    <t>07496 852780</t>
  </si>
  <si>
    <t>glynpfc1@gmail.com</t>
  </si>
  <si>
    <t>63 Oak Road, Fareham, Hampshire, PO15 5HH, United Kingdom</t>
  </si>
  <si>
    <t>OFFORD</t>
  </si>
  <si>
    <t>PA</t>
  </si>
  <si>
    <t>023 80 363853</t>
  </si>
  <si>
    <t>07955 887859</t>
  </si>
  <si>
    <t>ntp48@hotmail.com</t>
  </si>
  <si>
    <t>111 Kingsway, Chandler's Ford, Eastleigh, Hampshire, SO53 5DU, United Kingdom</t>
  </si>
  <si>
    <t>DEAN</t>
  </si>
  <si>
    <t>AV</t>
  </si>
  <si>
    <t>Alan</t>
  </si>
  <si>
    <t>07866 097573</t>
  </si>
  <si>
    <t>alanvernondean@gmail.com</t>
  </si>
  <si>
    <t>34 Sorrel Drive, Whiteley, Fareham, Hampshire, PO15 7JL, United Kingdom</t>
  </si>
  <si>
    <t>STEWART</t>
  </si>
  <si>
    <t>NH</t>
  </si>
  <si>
    <t>Nigel</t>
  </si>
  <si>
    <t>023 9275 4724</t>
  </si>
  <si>
    <t>07831 662245</t>
  </si>
  <si>
    <t>nigethehammer@btinternet.com</t>
  </si>
  <si>
    <t>42 Warren Avenue, Southsea, Hampshire, PO4 8PU, United Kingdom</t>
  </si>
  <si>
    <t>Thomas Jeremy</t>
  </si>
  <si>
    <t>WARD</t>
  </si>
  <si>
    <t>TJ</t>
  </si>
  <si>
    <t>Jeremy</t>
  </si>
  <si>
    <t>01256 842021</t>
  </si>
  <si>
    <t>07578 667677</t>
  </si>
  <si>
    <t>jerry@wardhome.org.uk</t>
  </si>
  <si>
    <t>4 Lincoln Close, Basingstoke, Hampshire, RG22 4PN, United Kingdom</t>
  </si>
  <si>
    <t>BAILEY</t>
  </si>
  <si>
    <t>GR</t>
  </si>
  <si>
    <t>Gifton</t>
  </si>
  <si>
    <t>07817 143997</t>
  </si>
  <si>
    <t>giftonb@yahoo.co.uk</t>
  </si>
  <si>
    <t>Summer Cottage, Clench, Marlborough, SN8 4NT, United Kingdom</t>
  </si>
  <si>
    <t>HODGES</t>
  </si>
  <si>
    <t>AC</t>
  </si>
  <si>
    <t>Comp</t>
  </si>
  <si>
    <t>07990 622264</t>
  </si>
  <si>
    <t>andyhodges9198@gmail.com</t>
  </si>
  <si>
    <t>63 Torrington Road, Portsmouth, Hampshire, PO2 0TN, United Kingdom</t>
  </si>
  <si>
    <t>SAMS</t>
  </si>
  <si>
    <t>CJC</t>
  </si>
  <si>
    <t>Carl</t>
  </si>
  <si>
    <t>01202 294218</t>
  </si>
  <si>
    <t>07815 134505</t>
  </si>
  <si>
    <t>cjsams66@gmail.com</t>
  </si>
  <si>
    <t>23 Comley Road, Bournemouth, Dorset, BH9 2ST, United Kingdom</t>
  </si>
  <si>
    <t>BUCK</t>
  </si>
  <si>
    <t>01590 678845</t>
  </si>
  <si>
    <t>07802 245056</t>
  </si>
  <si>
    <t>bucko100@gmail.com</t>
  </si>
  <si>
    <t>22 Clinton Road, Lower Buckland, Lymington, Hampshire, SO41 9EA, United Kingdom</t>
  </si>
  <si>
    <t>Andrew Rhys</t>
  </si>
  <si>
    <t>MORRIS</t>
  </si>
  <si>
    <t>AR</t>
  </si>
  <si>
    <t>07973 393647</t>
  </si>
  <si>
    <t>masonic@andymorris.co.uk</t>
  </si>
  <si>
    <t>260 St Nicholas Avenue, Rowner, Gosport, Hants., Gosport, Hampshire, PO13 9RR, United Kingdom</t>
  </si>
  <si>
    <t>FIELDS</t>
  </si>
  <si>
    <t>M</t>
  </si>
  <si>
    <t>02392 596306</t>
  </si>
  <si>
    <t>07977 169096</t>
  </si>
  <si>
    <t>martin@p-e-s.co.uk</t>
  </si>
  <si>
    <t>25 Endal Way, Clanfield, Waterlooville, Hampshire, PO8 0YF, United Kingdom</t>
  </si>
  <si>
    <t>SWALLOW</t>
  </si>
  <si>
    <t>PR</t>
  </si>
  <si>
    <t>Peter</t>
  </si>
  <si>
    <t>01983 874859</t>
  </si>
  <si>
    <t>07798 882857</t>
  </si>
  <si>
    <t>iow.swallow@hotmail.co.uk</t>
  </si>
  <si>
    <t>Mitton Cottage, Mitten Road, Bembridge, Isle of Wight, PO35 5UJ, United Kingdom</t>
  </si>
  <si>
    <t>HILL</t>
  </si>
  <si>
    <t>AT</t>
  </si>
  <si>
    <t>Jimmy</t>
  </si>
  <si>
    <t>07816 004082</t>
  </si>
  <si>
    <t>07969 295792</t>
  </si>
  <si>
    <t>jimmyhill9ah@gmail.com</t>
  </si>
  <si>
    <t>122 Quicksilver Way, Andover, Hampshire, SP11 6TT, United Kingdom</t>
  </si>
  <si>
    <t>CURNOW</t>
  </si>
  <si>
    <t>JM</t>
  </si>
  <si>
    <t>Jason</t>
  </si>
  <si>
    <t>02380 420891</t>
  </si>
  <si>
    <t>07900 680167</t>
  </si>
  <si>
    <t>jmc_8@hotmail.co.uk</t>
  </si>
  <si>
    <t>8 Malory Close, Southampton, Hampshire, SO19 6FF, United Kingdom</t>
  </si>
  <si>
    <t>WHITE</t>
  </si>
  <si>
    <t>NJ</t>
  </si>
  <si>
    <t>Neil</t>
  </si>
  <si>
    <t>01202 392192</t>
  </si>
  <si>
    <t>07887 875201</t>
  </si>
  <si>
    <t>neiljwhite@btinternet.com</t>
  </si>
  <si>
    <t>9 Broad Avenue, Bournemouth, Dorset, BH8 9HE, United Kingdom</t>
  </si>
  <si>
    <t>CONNOLLY</t>
  </si>
  <si>
    <t>Jim</t>
  </si>
  <si>
    <t>07741 305125</t>
  </si>
  <si>
    <t>conleisure@aol.com</t>
  </si>
  <si>
    <t>17 Solent Road, Fareham, PO14 3LB, United Kingdom</t>
  </si>
  <si>
    <t>JAMES</t>
  </si>
  <si>
    <t>RM</t>
  </si>
  <si>
    <t>Jess</t>
  </si>
  <si>
    <t>02392 582908</t>
  </si>
  <si>
    <t>07936 166566</t>
  </si>
  <si>
    <t>kateandjess03@yahoo.co.uk</t>
  </si>
  <si>
    <t>34 Bury Hall Lane, Gosport, Hampshire, PO12 2PW, United Kingdom</t>
  </si>
  <si>
    <t>ABRAHAM</t>
  </si>
  <si>
    <t>SM</t>
  </si>
  <si>
    <t>Steve</t>
  </si>
  <si>
    <t>02380 695967</t>
  </si>
  <si>
    <t>07527 007073</t>
  </si>
  <si>
    <t>stephenmabraham@yahoo.com</t>
  </si>
  <si>
    <t>16 Whalesmead Close, Eastleigh, Hampshire, SO50 8HE, United Kingdom</t>
  </si>
  <si>
    <t>WILKINSON</t>
  </si>
  <si>
    <t>George</t>
  </si>
  <si>
    <t>023 9232 7429</t>
  </si>
  <si>
    <t>07762 251648</t>
  </si>
  <si>
    <t>wilkinsongd@gmail.com</t>
  </si>
  <si>
    <t>7 Grove Avenue, Portchester, Fareham, Hampshire, PO16 9EU, United Kingdom</t>
  </si>
  <si>
    <t>MADDEN</t>
  </si>
  <si>
    <t>SP</t>
  </si>
  <si>
    <t>Stephen</t>
  </si>
  <si>
    <t>07496 261059</t>
  </si>
  <si>
    <t>spmadden13@outlook.com</t>
  </si>
  <si>
    <t>Flat B9 Elizabeth Court, Grove Road, Bournemouth, Dorset, BH1 3DT, United Kingdom</t>
  </si>
  <si>
    <t>SMITH</t>
  </si>
  <si>
    <t>RH</t>
  </si>
  <si>
    <t>Ray</t>
  </si>
  <si>
    <t>01202 479165</t>
  </si>
  <si>
    <t>07979 081934</t>
  </si>
  <si>
    <t>ray.smithboat@btinternet.com</t>
  </si>
  <si>
    <t>Flat 3B, Peel Court, Kings Avenue, Christchurch, BH23 1NL, United Kingdom</t>
  </si>
  <si>
    <t>SETTERFIELD</t>
  </si>
  <si>
    <t>07976350372</t>
  </si>
  <si>
    <t>07976 350372</t>
  </si>
  <si>
    <t>c.j.setterfield@outlook.com</t>
  </si>
  <si>
    <t>6 Kings Close, Kings Worthy, Winchester, Hampshire, SO23 7TE, United Kingdom</t>
  </si>
  <si>
    <t>MORGAN</t>
  </si>
  <si>
    <t>SJ</t>
  </si>
  <si>
    <t>01590610059</t>
  </si>
  <si>
    <t>07530 720177</t>
  </si>
  <si>
    <t>morgansj@btinternet.com</t>
  </si>
  <si>
    <t>69 Lower Buckland Road, Lymington, Hampshire, SO41 9DR, United Kingdom</t>
  </si>
  <si>
    <t>MCLENNAN</t>
  </si>
  <si>
    <t>AP</t>
  </si>
  <si>
    <t>07789 268237</t>
  </si>
  <si>
    <t>macchief@hotmail.co.uk</t>
  </si>
  <si>
    <t>10 Rosetta Drive, East Cowes, Isle of Wight, PO32 6EN, United Kingdom</t>
  </si>
  <si>
    <t>VENN</t>
  </si>
  <si>
    <t>AD</t>
  </si>
  <si>
    <t>07830224075</t>
  </si>
  <si>
    <t>07830 224075</t>
  </si>
  <si>
    <t>andy.venn@gmail.com</t>
  </si>
  <si>
    <t>37 Meggeson Avenue, Southampton, Hampshire, SO18 2EW, United Kingdom</t>
  </si>
  <si>
    <t>Kevin Terence</t>
  </si>
  <si>
    <t>HUTCHINS</t>
  </si>
  <si>
    <t>KT</t>
  </si>
  <si>
    <t>01590 719332</t>
  </si>
  <si>
    <t>07934 170376</t>
  </si>
  <si>
    <t>khutchins1@sky.com</t>
  </si>
  <si>
    <t>4 New Forest Drive, Brockenhurst, SO42 7QT, United Kingdom</t>
  </si>
  <si>
    <t>Family Name</t>
  </si>
  <si>
    <t>Philip</t>
  </si>
  <si>
    <t>Active Rank</t>
  </si>
  <si>
    <t>rodjduarte@gmail.com</t>
  </si>
  <si>
    <t>07305 635959</t>
  </si>
  <si>
    <t>Roddy</t>
  </si>
  <si>
    <t>19 Kenilworth Road, Southampton, SO15 2GA, United Kingdom</t>
  </si>
  <si>
    <r>
      <t xml:space="preserve">Hope Chapter </t>
    </r>
    <r>
      <rPr>
        <sz val="11"/>
        <color rgb="FFFF0000"/>
        <rFont val="Arial"/>
        <family val="2"/>
      </rPr>
      <t>Centenary</t>
    </r>
  </si>
  <si>
    <t>DepGSup</t>
  </si>
  <si>
    <t>2ndPGPrin</t>
  </si>
  <si>
    <t>3rdGPrin</t>
  </si>
  <si>
    <t>PGSN</t>
  </si>
  <si>
    <t>Yes</t>
  </si>
  <si>
    <t>Red Farm House, Long Lane, Shaw, Newbury, RG14 2TE</t>
  </si>
  <si>
    <t>Yonder, Derritt Lane, Bransgore, Christchurch, Dorset, BH23 8AR</t>
  </si>
  <si>
    <t>103 Station Road, Drayton, Portsmouth, Hampshire, PO6 1PL</t>
  </si>
  <si>
    <t>59 Spitfire Way, Hamble, Southampton, Hampshire, SO31 4RT</t>
  </si>
  <si>
    <t>NO</t>
  </si>
  <si>
    <t>Pescatarian, NO meat, NO melon</t>
  </si>
  <si>
    <t xml:space="preserve">Chicken / fish only </t>
  </si>
  <si>
    <t>Fish main / fresh fruit salad</t>
  </si>
  <si>
    <t>Dairy / Egg intolerant</t>
  </si>
  <si>
    <t>Fish main, Fresh fruit salad</t>
  </si>
  <si>
    <t>no dining unless with Ian Preece or IOW</t>
  </si>
  <si>
    <t>0</t>
  </si>
  <si>
    <t>Hilton MBE, RN</t>
  </si>
  <si>
    <t>Michael</t>
  </si>
  <si>
    <t>Geddes</t>
  </si>
  <si>
    <t>Cowes</t>
  </si>
  <si>
    <t xml:space="preserve">NO </t>
  </si>
  <si>
    <t>DEPGSUPT</t>
  </si>
  <si>
    <t>2NDPGP</t>
  </si>
  <si>
    <t>Ian</t>
  </si>
  <si>
    <t>KNELLER</t>
  </si>
  <si>
    <t>PREECE</t>
  </si>
  <si>
    <t>FRETTER</t>
  </si>
  <si>
    <t>BANHAM</t>
  </si>
  <si>
    <t>JI</t>
  </si>
  <si>
    <t>SE</t>
  </si>
  <si>
    <t>Adrian</t>
  </si>
  <si>
    <t>Simon</t>
  </si>
  <si>
    <t>JC</t>
  </si>
  <si>
    <t>joncwhittaker@gmail.com</t>
  </si>
  <si>
    <t>simon@aztech.me.uk</t>
  </si>
  <si>
    <t>7899 968101</t>
  </si>
  <si>
    <t>07770 321954</t>
  </si>
  <si>
    <t>adrian.c.fretter@ntlworld.com</t>
  </si>
  <si>
    <t>07760 220890</t>
  </si>
  <si>
    <t>JJ</t>
  </si>
  <si>
    <t>jjkneller7@gmail.com</t>
  </si>
  <si>
    <t>07976 540146</t>
  </si>
  <si>
    <t>ianpreece7262@btinternet.com</t>
  </si>
  <si>
    <t>07808 802746</t>
  </si>
  <si>
    <t>tbc</t>
  </si>
  <si>
    <t>Gluten free, no bread +water</t>
  </si>
  <si>
    <t>Yonder, Derritt Lane, Bransgore, Christchurch, BH23 8AR</t>
  </si>
  <si>
    <t>WHITAKER</t>
  </si>
  <si>
    <t>103 Station Rd, Drayton, Portsmouth PO6 1PL</t>
  </si>
  <si>
    <t>Jordan</t>
  </si>
  <si>
    <t>PProvDepGSwdB</t>
  </si>
  <si>
    <t>Nasser</t>
  </si>
  <si>
    <t xml:space="preserve">Sharifi </t>
  </si>
  <si>
    <t>PPGReg</t>
  </si>
  <si>
    <t>PPDepGDC</t>
  </si>
  <si>
    <t>59 Spitfire Way, Hamble, Hampshire. SO31 4RT</t>
  </si>
  <si>
    <t xml:space="preserve"> </t>
  </si>
  <si>
    <t>Vectis Services Consecration</t>
  </si>
  <si>
    <t>Past Provincial Deputy Grand Director Of Ceremonies</t>
  </si>
  <si>
    <t>GEDDES</t>
  </si>
  <si>
    <t>Mick</t>
  </si>
  <si>
    <t>mick@mickgeddes.com</t>
  </si>
  <si>
    <t>Past Provincial Deputy Grand Sword Bearer</t>
  </si>
  <si>
    <t>jordanfretter@gmail.com</t>
  </si>
  <si>
    <t>Past Provincial Grand Registrar</t>
  </si>
  <si>
    <t>SHARIFI</t>
  </si>
  <si>
    <t>n.sharifi@yahoo.co.uk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</si>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</sst>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3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b/>
      <sz val="11"/>
      <color indexed="8"/>
      <name val="Aptos Narrow"/>
      <family val="2"/>
      <charset val="1"/>
    </font>
    <font>
      <sz val="11"/>
      <color indexed="8"/>
      <name val="Aptos Narrow"/>
      <family val="2"/>
      <charset val="1"/>
    </font>
    <font>
      <sz val="11"/>
      <color indexed="8"/>
      <name val="Aptos Narrow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i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Arial"/>
      <family val="2"/>
    </font>
    <font>
      <strike/>
      <sz val="1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0"/>
      <name val="Aptos Narrow"/>
      <family val="2"/>
    </font>
    <font>
      <sz val="10"/>
      <color indexed="8"/>
      <name val="Aptos Narrow"/>
      <family val="2"/>
    </font>
    <font>
      <b/>
      <u/>
      <sz val="10"/>
      <name val="Aptos Narrow"/>
      <family val="2"/>
    </font>
    <font>
      <u/>
      <sz val="10"/>
      <color theme="10"/>
      <name val="Arial"/>
      <family val="2"/>
    </font>
    <font>
      <sz val="11"/>
      <color rgb="FFFF0000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0"/>
      <color theme="0"/>
      <name val="Arial"/>
      <family val="2"/>
    </font>
    <font>
      <sz val="10"/>
      <name val="Aptos Narrow (Body)"/>
    </font>
    <font>
      <sz val="11"/>
      <name val="Aptos Narrow (Body)"/>
    </font>
    <font>
      <i/>
      <sz val="11"/>
      <name val="Arial"/>
      <family val="2"/>
    </font>
    <font>
      <sz val="11"/>
      <color theme="1"/>
      <name val="Arial"/>
      <family val="2"/>
      <charset val="1"/>
    </font>
    <font>
      <sz val="10"/>
      <name val="Arial"/>
      <family val="2"/>
    </font>
    <font>
      <sz val="9"/>
      <color rgb="FF3C3C3C"/>
      <name val="Arial"/>
      <family val="2"/>
    </font>
    <font>
      <sz val="11"/>
      <color rgb="FF3C3C3C"/>
      <name val="Arial"/>
      <family val="2"/>
    </font>
  </fonts>
  <fills count="7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27"/>
      </patternFill>
    </fill>
    <fill>
      <patternFill patternType="solid">
        <fgColor indexed="27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52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55"/>
      </patternFill>
    </fill>
    <fill>
      <patternFill patternType="solid">
        <fgColor theme="0"/>
        <bgColor indexed="60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3"/>
      </patternFill>
    </fill>
    <fill>
      <patternFill patternType="solid">
        <fgColor theme="0"/>
        <bgColor indexed="40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D76DCC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3F3F3"/>
      </patternFill>
    </fill>
    <fill>
      <patternFill patternType="solid">
        <fgColor theme="3" tint="0.89999084444715716"/>
        <bgColor rgb="FFF3F3F3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31"/>
      </patternFill>
    </fill>
    <fill>
      <patternFill patternType="solid">
        <fgColor rgb="FF00B0F0"/>
        <bgColor indexed="4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55"/>
      </patternFill>
    </fill>
    <fill>
      <patternFill patternType="solid">
        <fgColor rgb="FF92D050"/>
        <bgColor indexed="26"/>
      </patternFill>
    </fill>
    <fill>
      <patternFill patternType="solid">
        <fgColor rgb="FFFFFF00"/>
        <bgColor indexed="31"/>
      </patternFill>
    </fill>
    <fill>
      <patternFill patternType="solid">
        <fgColor rgb="FF92D050"/>
        <bgColor indexed="31"/>
      </patternFill>
    </fill>
    <fill>
      <patternFill patternType="solid">
        <fgColor rgb="FFFFFF00"/>
        <bgColor indexed="34"/>
      </patternFill>
    </fill>
    <fill>
      <patternFill patternType="solid">
        <fgColor rgb="FF92D050"/>
        <bgColor indexed="34"/>
      </patternFill>
    </fill>
    <fill>
      <patternFill patternType="solid">
        <fgColor rgb="FFFFFF00"/>
        <bgColor indexed="55"/>
      </patternFill>
    </fill>
    <fill>
      <patternFill patternType="solid">
        <fgColor rgb="FFFF0000"/>
        <bgColor indexed="43"/>
      </patternFill>
    </fill>
    <fill>
      <patternFill patternType="solid">
        <fgColor rgb="FFFFFF00"/>
        <bgColor indexed="26"/>
      </patternFill>
    </fill>
    <fill>
      <patternFill patternType="solid">
        <fgColor rgb="FFFFC000"/>
        <bgColor indexed="26"/>
      </patternFill>
    </fill>
    <fill>
      <patternFill patternType="solid">
        <fgColor rgb="FFFF0000"/>
        <bgColor indexed="26"/>
      </patternFill>
    </fill>
    <fill>
      <patternFill patternType="solid">
        <fgColor rgb="FFFF0000"/>
        <bgColor indexed="55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3" fillId="0" borderId="15" applyNumberFormat="0" applyFill="0" applyAlignment="0" applyProtection="0"/>
    <xf numFmtId="0" fontId="23" fillId="0" borderId="0" applyNumberFormat="0" applyFill="0" applyBorder="0" applyAlignment="0" applyProtection="0"/>
    <xf numFmtId="0" fontId="24" fillId="30" borderId="0" applyNumberFormat="0" applyBorder="0" applyAlignment="0" applyProtection="0"/>
    <xf numFmtId="0" fontId="25" fillId="31" borderId="0" applyNumberFormat="0" applyBorder="0" applyAlignment="0" applyProtection="0"/>
    <xf numFmtId="0" fontId="26" fillId="32" borderId="0" applyNumberFormat="0" applyBorder="0" applyAlignment="0" applyProtection="0"/>
    <xf numFmtId="0" fontId="27" fillId="33" borderId="16" applyNumberFormat="0" applyAlignment="0" applyProtection="0"/>
    <xf numFmtId="0" fontId="28" fillId="34" borderId="17" applyNumberFormat="0" applyAlignment="0" applyProtection="0"/>
    <xf numFmtId="0" fontId="29" fillId="34" borderId="16" applyNumberFormat="0" applyAlignment="0" applyProtection="0"/>
    <xf numFmtId="0" fontId="30" fillId="0" borderId="18" applyNumberFormat="0" applyFill="0" applyAlignment="0" applyProtection="0"/>
    <xf numFmtId="0" fontId="31" fillId="35" borderId="19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21" applyNumberFormat="0" applyFill="0" applyAlignment="0" applyProtection="0"/>
    <xf numFmtId="0" fontId="3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5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35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35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35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35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36" borderId="20" applyNumberFormat="0" applyFont="0" applyAlignment="0" applyProtection="0"/>
    <xf numFmtId="0" fontId="41" fillId="0" borderId="0" applyNumberFormat="0" applyFill="0" applyBorder="0" applyAlignment="0" applyProtection="0"/>
  </cellStyleXfs>
  <cellXfs count="218">
    <xf numFmtId="0" fontId="0" fillId="0" borderId="0" xfId="0"/>
    <xf numFmtId="0" fontId="3" fillId="0" borderId="1" xfId="0" applyFont="1" applyBorder="1"/>
    <xf numFmtId="0" fontId="3" fillId="0" borderId="3" xfId="0" applyFont="1" applyBorder="1"/>
    <xf numFmtId="49" fontId="3" fillId="0" borderId="1" xfId="0" applyNumberFormat="1" applyFont="1" applyBorder="1"/>
    <xf numFmtId="49" fontId="3" fillId="0" borderId="3" xfId="0" applyNumberFormat="1" applyFont="1" applyBorder="1"/>
    <xf numFmtId="49" fontId="3" fillId="2" borderId="1" xfId="0" applyNumberFormat="1" applyFont="1" applyFill="1" applyBorder="1"/>
    <xf numFmtId="49" fontId="3" fillId="2" borderId="3" xfId="0" applyNumberFormat="1" applyFont="1" applyFill="1" applyBorder="1"/>
    <xf numFmtId="0" fontId="2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wrapText="1"/>
    </xf>
    <xf numFmtId="49" fontId="3" fillId="13" borderId="1" xfId="0" applyNumberFormat="1" applyFont="1" applyFill="1" applyBorder="1"/>
    <xf numFmtId="49" fontId="3" fillId="13" borderId="3" xfId="0" applyNumberFormat="1" applyFont="1" applyFill="1" applyBorder="1"/>
    <xf numFmtId="0" fontId="4" fillId="0" borderId="0" xfId="0" applyFont="1" applyAlignment="1">
      <alignment horizontal="right" indent="1"/>
    </xf>
    <xf numFmtId="0" fontId="7" fillId="0" borderId="0" xfId="0" applyFont="1"/>
    <xf numFmtId="0" fontId="8" fillId="0" borderId="5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6" fillId="6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64" fontId="6" fillId="6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5" borderId="0" xfId="0" applyFont="1" applyFill="1"/>
    <xf numFmtId="0" fontId="7" fillId="5" borderId="1" xfId="0" applyFont="1" applyFill="1" applyBorder="1"/>
    <xf numFmtId="49" fontId="7" fillId="5" borderId="1" xfId="0" applyNumberFormat="1" applyFont="1" applyFill="1" applyBorder="1"/>
    <xf numFmtId="49" fontId="7" fillId="0" borderId="0" xfId="0" applyNumberFormat="1" applyFont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/>
    <xf numFmtId="0" fontId="3" fillId="0" borderId="5" xfId="0" applyFont="1" applyBorder="1" applyAlignment="1">
      <alignment horizontal="left" vertical="center"/>
    </xf>
    <xf numFmtId="0" fontId="3" fillId="0" borderId="5" xfId="0" applyFont="1" applyBorder="1"/>
    <xf numFmtId="0" fontId="10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5" xfId="0" applyFont="1" applyBorder="1" applyAlignment="1">
      <alignment horizontal="center" vertical="center"/>
    </xf>
    <xf numFmtId="0" fontId="9" fillId="13" borderId="0" xfId="0" applyFont="1" applyFill="1"/>
    <xf numFmtId="0" fontId="10" fillId="0" borderId="6" xfId="0" applyFont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15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14" fontId="11" fillId="19" borderId="11" xfId="0" applyNumberFormat="1" applyFont="1" applyFill="1" applyBorder="1" applyAlignment="1">
      <alignment horizontal="center" vertical="center" wrapText="1"/>
    </xf>
    <xf numFmtId="14" fontId="12" fillId="19" borderId="11" xfId="0" applyNumberFormat="1" applyFont="1" applyFill="1" applyBorder="1" applyAlignment="1">
      <alignment horizontal="center" vertical="center" wrapText="1"/>
    </xf>
    <xf numFmtId="0" fontId="11" fillId="24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0" fontId="11" fillId="24" borderId="5" xfId="0" applyFont="1" applyFill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wrapText="1"/>
    </xf>
    <xf numFmtId="0" fontId="11" fillId="23" borderId="5" xfId="0" applyFont="1" applyFill="1" applyBorder="1" applyAlignment="1">
      <alignment horizontal="center" vertical="center"/>
    </xf>
    <xf numFmtId="0" fontId="7" fillId="0" borderId="5" xfId="0" applyFont="1" applyBorder="1"/>
    <xf numFmtId="0" fontId="10" fillId="4" borderId="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horizontal="center"/>
    </xf>
    <xf numFmtId="0" fontId="11" fillId="25" borderId="5" xfId="0" applyFont="1" applyFill="1" applyBorder="1" applyAlignment="1">
      <alignment horizontal="center"/>
    </xf>
    <xf numFmtId="0" fontId="11" fillId="26" borderId="5" xfId="0" applyFont="1" applyFill="1" applyBorder="1" applyAlignment="1">
      <alignment horizontal="center"/>
    </xf>
    <xf numFmtId="0" fontId="11" fillId="27" borderId="5" xfId="0" applyFont="1" applyFill="1" applyBorder="1" applyAlignment="1">
      <alignment horizontal="center"/>
    </xf>
    <xf numFmtId="0" fontId="13" fillId="23" borderId="5" xfId="0" applyFont="1" applyFill="1" applyBorder="1" applyAlignment="1">
      <alignment horizontal="center"/>
    </xf>
    <xf numFmtId="14" fontId="14" fillId="19" borderId="11" xfId="0" applyNumberFormat="1" applyFont="1" applyFill="1" applyBorder="1" applyAlignment="1">
      <alignment horizontal="center"/>
    </xf>
    <xf numFmtId="0" fontId="10" fillId="12" borderId="5" xfId="0" applyFont="1" applyFill="1" applyBorder="1" applyAlignment="1">
      <alignment horizontal="center"/>
    </xf>
    <xf numFmtId="49" fontId="3" fillId="2" borderId="2" xfId="0" applyNumberFormat="1" applyFont="1" applyFill="1" applyBorder="1"/>
    <xf numFmtId="49" fontId="3" fillId="2" borderId="8" xfId="0" applyNumberFormat="1" applyFont="1" applyFill="1" applyBorder="1"/>
    <xf numFmtId="0" fontId="10" fillId="1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vertical="center" wrapText="1"/>
    </xf>
    <xf numFmtId="0" fontId="7" fillId="5" borderId="6" xfId="0" applyFont="1" applyFill="1" applyBorder="1"/>
    <xf numFmtId="0" fontId="10" fillId="15" borderId="12" xfId="0" applyFont="1" applyFill="1" applyBorder="1" applyAlignment="1">
      <alignment horizontal="center"/>
    </xf>
    <xf numFmtId="49" fontId="3" fillId="2" borderId="5" xfId="0" applyNumberFormat="1" applyFont="1" applyFill="1" applyBorder="1"/>
    <xf numFmtId="0" fontId="9" fillId="5" borderId="5" xfId="0" applyFont="1" applyFill="1" applyBorder="1" applyAlignment="1">
      <alignment vertical="center"/>
    </xf>
    <xf numFmtId="49" fontId="9" fillId="0" borderId="1" xfId="0" applyNumberFormat="1" applyFont="1" applyBorder="1"/>
    <xf numFmtId="0" fontId="9" fillId="0" borderId="1" xfId="0" applyFont="1" applyBorder="1"/>
    <xf numFmtId="0" fontId="10" fillId="5" borderId="1" xfId="0" applyFont="1" applyFill="1" applyBorder="1" applyAlignment="1">
      <alignment horizontal="center" vertical="center"/>
    </xf>
    <xf numFmtId="0" fontId="11" fillId="24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14" fontId="3" fillId="5" borderId="2" xfId="0" applyNumberFormat="1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/>
    </xf>
    <xf numFmtId="0" fontId="13" fillId="24" borderId="5" xfId="0" applyFont="1" applyFill="1" applyBorder="1" applyAlignment="1">
      <alignment horizontal="center" vertical="center" wrapText="1"/>
    </xf>
    <xf numFmtId="0" fontId="13" fillId="24" borderId="5" xfId="0" applyFont="1" applyFill="1" applyBorder="1" applyAlignment="1">
      <alignment horizontal="center"/>
    </xf>
    <xf numFmtId="0" fontId="7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28" borderId="5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4" fontId="11" fillId="18" borderId="11" xfId="0" applyNumberFormat="1" applyFont="1" applyFill="1" applyBorder="1" applyAlignment="1">
      <alignment horizontal="center" vertical="center" wrapText="1"/>
    </xf>
    <xf numFmtId="14" fontId="11" fillId="20" borderId="11" xfId="0" applyNumberFormat="1" applyFont="1" applyFill="1" applyBorder="1" applyAlignment="1">
      <alignment horizontal="center" vertical="center" wrapText="1"/>
    </xf>
    <xf numFmtId="14" fontId="11" fillId="21" borderId="11" xfId="0" applyNumberFormat="1" applyFont="1" applyFill="1" applyBorder="1" applyAlignment="1">
      <alignment horizontal="center" vertical="center" wrapText="1"/>
    </xf>
    <xf numFmtId="14" fontId="13" fillId="19" borderId="11" xfId="0" applyNumberFormat="1" applyFont="1" applyFill="1" applyBorder="1" applyAlignment="1">
      <alignment horizontal="center" vertical="center" wrapText="1"/>
    </xf>
    <xf numFmtId="14" fontId="11" fillId="22" borderId="11" xfId="0" applyNumberFormat="1" applyFont="1" applyFill="1" applyBorder="1" applyAlignment="1">
      <alignment horizontal="center" vertical="center" wrapText="1"/>
    </xf>
    <xf numFmtId="14" fontId="11" fillId="22" borderId="11" xfId="0" applyNumberFormat="1" applyFont="1" applyFill="1" applyBorder="1"/>
    <xf numFmtId="14" fontId="13" fillId="23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37" fillId="0" borderId="5" xfId="41" applyFont="1" applyBorder="1" applyAlignment="1">
      <alignment horizontal="left" vertical="center" wrapText="1"/>
    </xf>
    <xf numFmtId="49" fontId="36" fillId="0" borderId="5" xfId="41" applyNumberFormat="1" applyFont="1" applyBorder="1" applyAlignment="1">
      <alignment vertical="top" wrapText="1"/>
    </xf>
    <xf numFmtId="0" fontId="1" fillId="0" borderId="5" xfId="41" applyBorder="1" applyAlignment="1">
      <alignment vertical="top" wrapText="1"/>
    </xf>
    <xf numFmtId="49" fontId="39" fillId="0" borderId="6" xfId="0" applyNumberFormat="1" applyFont="1" applyBorder="1" applyAlignment="1">
      <alignment vertical="top"/>
    </xf>
    <xf numFmtId="49" fontId="39" fillId="0" borderId="1" xfId="0" applyNumberFormat="1" applyFont="1" applyBorder="1" applyAlignment="1">
      <alignment vertical="top"/>
    </xf>
    <xf numFmtId="49" fontId="38" fillId="0" borderId="5" xfId="43" applyNumberFormat="1" applyFont="1" applyBorder="1" applyAlignment="1">
      <alignment vertical="top" wrapText="1"/>
    </xf>
    <xf numFmtId="0" fontId="38" fillId="0" borderId="0" xfId="0" applyFont="1" applyAlignment="1">
      <alignment vertical="top"/>
    </xf>
    <xf numFmtId="49" fontId="39" fillId="2" borderId="2" xfId="0" applyNumberFormat="1" applyFont="1" applyFill="1" applyBorder="1" applyAlignment="1">
      <alignment vertical="top"/>
    </xf>
    <xf numFmtId="0" fontId="40" fillId="0" borderId="5" xfId="0" applyFont="1" applyBorder="1" applyAlignment="1">
      <alignment vertical="center"/>
    </xf>
    <xf numFmtId="49" fontId="39" fillId="2" borderId="1" xfId="0" applyNumberFormat="1" applyFont="1" applyFill="1" applyBorder="1" applyAlignment="1">
      <alignment vertical="top"/>
    </xf>
    <xf numFmtId="49" fontId="7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28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61" borderId="4" xfId="0" applyFont="1" applyFill="1" applyBorder="1" applyAlignment="1">
      <alignment horizontal="center" vertical="center"/>
    </xf>
    <xf numFmtId="0" fontId="7" fillId="61" borderId="1" xfId="0" applyFont="1" applyFill="1" applyBorder="1" applyAlignment="1">
      <alignment horizontal="center" vertical="center"/>
    </xf>
    <xf numFmtId="0" fontId="7" fillId="62" borderId="1" xfId="0" applyFont="1" applyFill="1" applyBorder="1" applyAlignment="1">
      <alignment horizontal="center" vertical="center"/>
    </xf>
    <xf numFmtId="0" fontId="7" fillId="63" borderId="1" xfId="0" applyFont="1" applyFill="1" applyBorder="1" applyAlignment="1">
      <alignment horizontal="center" vertical="center"/>
    </xf>
    <xf numFmtId="0" fontId="7" fillId="64" borderId="1" xfId="0" applyFont="1" applyFill="1" applyBorder="1" applyAlignment="1">
      <alignment horizontal="center" vertical="center"/>
    </xf>
    <xf numFmtId="0" fontId="7" fillId="65" borderId="1" xfId="0" applyFont="1" applyFill="1" applyBorder="1" applyAlignment="1">
      <alignment horizontal="center" vertical="center"/>
    </xf>
    <xf numFmtId="0" fontId="7" fillId="64" borderId="4" xfId="0" applyFont="1" applyFill="1" applyBorder="1" applyAlignment="1">
      <alignment horizontal="center" vertical="center"/>
    </xf>
    <xf numFmtId="0" fontId="7" fillId="64" borderId="0" xfId="0" applyFont="1" applyFill="1" applyAlignment="1">
      <alignment horizontal="center" vertical="center"/>
    </xf>
    <xf numFmtId="0" fontId="7" fillId="67" borderId="1" xfId="0" applyFont="1" applyFill="1" applyBorder="1" applyAlignment="1">
      <alignment horizontal="center" vertical="center"/>
    </xf>
    <xf numFmtId="0" fontId="7" fillId="68" borderId="1" xfId="0" applyFont="1" applyFill="1" applyBorder="1" applyAlignment="1">
      <alignment horizontal="center" vertical="center"/>
    </xf>
    <xf numFmtId="0" fontId="7" fillId="69" borderId="1" xfId="0" applyFont="1" applyFill="1" applyBorder="1" applyAlignment="1">
      <alignment horizontal="center" vertical="center"/>
    </xf>
    <xf numFmtId="0" fontId="7" fillId="70" borderId="1" xfId="0" applyFont="1" applyFill="1" applyBorder="1" applyAlignment="1">
      <alignment horizontal="center" vertical="center"/>
    </xf>
    <xf numFmtId="0" fontId="7" fillId="71" borderId="1" xfId="0" applyFont="1" applyFill="1" applyBorder="1" applyAlignment="1">
      <alignment horizontal="center" vertical="center"/>
    </xf>
    <xf numFmtId="0" fontId="7" fillId="64" borderId="5" xfId="0" applyFont="1" applyFill="1" applyBorder="1" applyAlignment="1">
      <alignment horizontal="center" vertical="center"/>
    </xf>
    <xf numFmtId="49" fontId="39" fillId="64" borderId="1" xfId="0" applyNumberFormat="1" applyFont="1" applyFill="1" applyBorder="1" applyAlignment="1">
      <alignment vertical="top"/>
    </xf>
    <xf numFmtId="49" fontId="36" fillId="64" borderId="5" xfId="41" applyNumberFormat="1" applyFont="1" applyFill="1" applyBorder="1" applyAlignment="1">
      <alignment vertical="top" wrapText="1"/>
    </xf>
    <xf numFmtId="0" fontId="1" fillId="64" borderId="5" xfId="41" applyFill="1" applyBorder="1" applyAlignment="1">
      <alignment vertical="top" wrapText="1"/>
    </xf>
    <xf numFmtId="49" fontId="39" fillId="29" borderId="1" xfId="0" applyNumberFormat="1" applyFont="1" applyFill="1" applyBorder="1" applyAlignment="1">
      <alignment vertical="top"/>
    </xf>
    <xf numFmtId="49" fontId="36" fillId="29" borderId="5" xfId="41" applyNumberFormat="1" applyFont="1" applyFill="1" applyBorder="1" applyAlignment="1">
      <alignment vertical="top" wrapText="1"/>
    </xf>
    <xf numFmtId="0" fontId="1" fillId="29" borderId="5" xfId="41" applyFill="1" applyBorder="1" applyAlignment="1">
      <alignment vertical="top" wrapText="1"/>
    </xf>
    <xf numFmtId="49" fontId="39" fillId="72" borderId="1" xfId="0" applyNumberFormat="1" applyFont="1" applyFill="1" applyBorder="1" applyAlignment="1">
      <alignment vertical="top"/>
    </xf>
    <xf numFmtId="49" fontId="39" fillId="28" borderId="1" xfId="0" applyNumberFormat="1" applyFont="1" applyFill="1" applyBorder="1" applyAlignment="1">
      <alignment vertical="top"/>
    </xf>
    <xf numFmtId="49" fontId="36" fillId="28" borderId="5" xfId="41" applyNumberFormat="1" applyFont="1" applyFill="1" applyBorder="1" applyAlignment="1">
      <alignment vertical="top" wrapText="1"/>
    </xf>
    <xf numFmtId="0" fontId="1" fillId="28" borderId="5" xfId="41" applyFill="1" applyBorder="1" applyAlignment="1">
      <alignment vertical="top" wrapText="1"/>
    </xf>
    <xf numFmtId="49" fontId="39" fillId="17" borderId="1" xfId="0" applyNumberFormat="1" applyFont="1" applyFill="1" applyBorder="1" applyAlignment="1">
      <alignment vertical="top"/>
    </xf>
    <xf numFmtId="49" fontId="36" fillId="17" borderId="5" xfId="41" applyNumberFormat="1" applyFont="1" applyFill="1" applyBorder="1" applyAlignment="1">
      <alignment vertical="top" wrapText="1"/>
    </xf>
    <xf numFmtId="0" fontId="1" fillId="17" borderId="5" xfId="41" applyFill="1" applyBorder="1" applyAlignment="1">
      <alignment vertical="top" wrapText="1"/>
    </xf>
    <xf numFmtId="49" fontId="39" fillId="66" borderId="1" xfId="0" applyNumberFormat="1" applyFont="1" applyFill="1" applyBorder="1" applyAlignment="1">
      <alignment vertical="top"/>
    </xf>
    <xf numFmtId="49" fontId="39" fillId="73" borderId="1" xfId="0" applyNumberFormat="1" applyFont="1" applyFill="1" applyBorder="1" applyAlignment="1">
      <alignment vertical="top"/>
    </xf>
    <xf numFmtId="49" fontId="39" fillId="74" borderId="1" xfId="0" applyNumberFormat="1" applyFont="1" applyFill="1" applyBorder="1" applyAlignment="1">
      <alignment vertical="top"/>
    </xf>
    <xf numFmtId="49" fontId="39" fillId="75" borderId="1" xfId="0" applyNumberFormat="1" applyFont="1" applyFill="1" applyBorder="1" applyAlignment="1">
      <alignment vertical="top"/>
    </xf>
    <xf numFmtId="49" fontId="44" fillId="5" borderId="0" xfId="41" applyNumberFormat="1" applyFont="1" applyFill="1" applyAlignment="1">
      <alignment horizontal="left" vertical="center" wrapText="1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49" fontId="39" fillId="12" borderId="1" xfId="0" applyNumberFormat="1" applyFont="1" applyFill="1" applyBorder="1" applyAlignment="1">
      <alignment vertical="top"/>
    </xf>
    <xf numFmtId="49" fontId="36" fillId="5" borderId="5" xfId="41" applyNumberFormat="1" applyFont="1" applyFill="1" applyBorder="1" applyAlignment="1">
      <alignment vertical="top" wrapText="1"/>
    </xf>
    <xf numFmtId="0" fontId="1" fillId="5" borderId="5" xfId="41" applyFill="1" applyBorder="1" applyAlignment="1">
      <alignment vertical="top" wrapText="1"/>
    </xf>
    <xf numFmtId="0" fontId="7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61" borderId="22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0" fillId="17" borderId="0" xfId="0" applyFill="1" applyAlignment="1">
      <alignment vertical="center" wrapText="1"/>
    </xf>
    <xf numFmtId="0" fontId="0" fillId="64" borderId="0" xfId="0" applyFill="1" applyAlignment="1">
      <alignment vertical="center"/>
    </xf>
    <xf numFmtId="0" fontId="0" fillId="28" borderId="0" xfId="0" applyFill="1" applyAlignment="1">
      <alignment vertical="center"/>
    </xf>
    <xf numFmtId="0" fontId="45" fillId="29" borderId="0" xfId="0" applyFont="1" applyFill="1" applyAlignment="1">
      <alignment vertical="center"/>
    </xf>
    <xf numFmtId="0" fontId="7" fillId="14" borderId="3" xfId="0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0" fontId="7" fillId="13" borderId="2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10" fillId="15" borderId="24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49" fontId="46" fillId="2" borderId="5" xfId="0" applyNumberFormat="1" applyFont="1" applyFill="1" applyBorder="1" applyAlignment="1">
      <alignment vertical="top"/>
    </xf>
    <xf numFmtId="49" fontId="46" fillId="0" borderId="5" xfId="41" applyNumberFormat="1" applyFont="1" applyBorder="1" applyAlignment="1">
      <alignment vertical="top" wrapText="1"/>
    </xf>
    <xf numFmtId="0" fontId="47" fillId="0" borderId="5" xfId="41" applyFont="1" applyBorder="1" applyAlignment="1">
      <alignment vertical="top" wrapText="1"/>
    </xf>
    <xf numFmtId="49" fontId="8" fillId="5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49" fontId="36" fillId="0" borderId="25" xfId="41" applyNumberFormat="1" applyFont="1" applyBorder="1" applyAlignment="1">
      <alignment vertical="top" wrapText="1"/>
    </xf>
    <xf numFmtId="49" fontId="36" fillId="5" borderId="25" xfId="41" applyNumberFormat="1" applyFont="1" applyFill="1" applyBorder="1" applyAlignment="1">
      <alignment vertical="top" wrapText="1"/>
    </xf>
    <xf numFmtId="0" fontId="8" fillId="5" borderId="6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49" fontId="36" fillId="64" borderId="25" xfId="41" applyNumberFormat="1" applyFont="1" applyFill="1" applyBorder="1" applyAlignment="1">
      <alignment vertical="top" wrapText="1"/>
    </xf>
    <xf numFmtId="0" fontId="7" fillId="29" borderId="0" xfId="0" applyFont="1" applyFill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7" fillId="76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9" fillId="0" borderId="5" xfId="0" applyFont="1" applyBorder="1" applyAlignment="1">
      <alignment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/>
    </xf>
    <xf numFmtId="0" fontId="38" fillId="0" borderId="0" xfId="0" applyFont="1" applyAlignment="1">
      <alignment vertical="center"/>
    </xf>
    <xf numFmtId="0" fontId="36" fillId="0" borderId="5" xfId="41" applyFont="1" applyBorder="1" applyAlignment="1">
      <alignment horizontal="left" vertical="center" wrapText="1"/>
    </xf>
    <xf numFmtId="0" fontId="50" fillId="0" borderId="5" xfId="43" applyFont="1" applyBorder="1" applyAlignment="1">
      <alignment horizontal="left" vertical="center" wrapText="1"/>
    </xf>
    <xf numFmtId="0" fontId="51" fillId="0" borderId="0" xfId="0" applyFont="1"/>
    <xf numFmtId="0" fontId="52" fillId="0" borderId="0" xfId="0" applyFont="1"/>
    <xf numFmtId="0" fontId="38" fillId="0" borderId="5" xfId="0" applyFont="1" applyBorder="1" applyAlignment="1">
      <alignment vertical="top"/>
    </xf>
    <xf numFmtId="0" fontId="0" fillId="0" borderId="5" xfId="0" applyBorder="1" applyAlignment="1">
      <alignment vertical="top"/>
    </xf>
    <xf numFmtId="0" fontId="41" fillId="0" borderId="5" xfId="43" applyBorder="1" applyAlignment="1">
      <alignment vertical="top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2FB2893B-A4CA-4859-9739-6F9E5229FE99}"/>
    <cellStyle name="Note 2" xfId="42" xr:uid="{A4AFA5B7-5664-498A-A461-B057AFBFC546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69A2E"/>
      <rgbColor rgb="00000080"/>
      <rgbColor rgb="00808000"/>
      <rgbColor rgb="00800080"/>
      <rgbColor rgb="0000A933"/>
      <rgbColor rgb="00CCCCCC"/>
      <rgbColor rgb="00808080"/>
      <rgbColor rgb="009999FF"/>
      <rgbColor rgb="00993366"/>
      <rgbColor rgb="00E8E8E8"/>
      <rgbColor rgb="00DCEAF7"/>
      <rgbColor rgb="00660066"/>
      <rgbColor rgb="00FF8080"/>
      <rgbColor rgb="000066CC"/>
      <rgbColor rgb="00B4C7D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DDE8CB"/>
      <rgbColor rgb="00D9F2D0"/>
      <rgbColor rgb="00F7D1D5"/>
      <rgbColor rgb="0099CCFF"/>
      <rgbColor rgb="00FF99CC"/>
      <rgbColor rgb="00CC99FF"/>
      <rgbColor rgb="00FFD8CE"/>
      <rgbColor rgb="003366FF"/>
      <rgbColor rgb="0046B1E1"/>
      <rgbColor rgb="0092D050"/>
      <rgbColor rgb="00FFC000"/>
      <rgbColor rgb="00FF9900"/>
      <rgbColor rgb="00FF6600"/>
      <rgbColor rgb="00666699"/>
      <rgbColor rgb="00B2B2B2"/>
      <rgbColor rgb="00003366"/>
      <rgbColor rgb="003FAF4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.sharifi@yahoo.co.uk" TargetMode="External"/><Relationship Id="rId3" Type="http://schemas.openxmlformats.org/officeDocument/2006/relationships/hyperlink" Target="mailto:simon@aztech.me.uk" TargetMode="External"/><Relationship Id="rId7" Type="http://schemas.openxmlformats.org/officeDocument/2006/relationships/hyperlink" Target="mailto:mick@mickgeddes.com" TargetMode="External"/><Relationship Id="rId2" Type="http://schemas.openxmlformats.org/officeDocument/2006/relationships/hyperlink" Target="mailto:joncwhittaker@gmail.com" TargetMode="External"/><Relationship Id="rId1" Type="http://schemas.openxmlformats.org/officeDocument/2006/relationships/hyperlink" Target="mailto:rodjduarte@gmail.com" TargetMode="External"/><Relationship Id="rId6" Type="http://schemas.openxmlformats.org/officeDocument/2006/relationships/hyperlink" Target="mailto:ianpreece7262@btinternet.com" TargetMode="External"/><Relationship Id="rId5" Type="http://schemas.openxmlformats.org/officeDocument/2006/relationships/hyperlink" Target="mailto:jjkneller7@g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adrian.c.fretter@ntlworld.com" TargetMode="External"/><Relationship Id="rId9" Type="http://schemas.openxmlformats.org/officeDocument/2006/relationships/hyperlink" Target="mailto:jordanfret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9890-1B6A-478F-90B1-31B9622852F5}">
  <dimension ref="A1:AZ62"/>
  <sheetViews>
    <sheetView showGridLines="0" tabSelected="1" zoomScale="110" zoomScaleNormal="110" workbookViewId="0">
      <pane xSplit="5" ySplit="8" topLeftCell="H27" activePane="bottomRight" state="frozen"/>
      <selection pane="topRight" activeCell="F1" sqref="F1"/>
      <selection pane="bottomLeft" activeCell="A9" sqref="A9"/>
      <selection pane="bottomRight" activeCell="N39" sqref="N39"/>
    </sheetView>
  </sheetViews>
  <sheetFormatPr defaultColWidth="8" defaultRowHeight="15" customHeight="1"/>
  <cols>
    <col min="1" max="1" width="46.42578125" style="12" bestFit="1" customWidth="1"/>
    <col min="2" max="2" width="21.140625" style="12" bestFit="1" customWidth="1"/>
    <col min="3" max="3" width="14.42578125" style="12" customWidth="1"/>
    <col min="4" max="4" width="18.42578125" style="12" customWidth="1"/>
    <col min="5" max="5" width="14.42578125" style="29" customWidth="1"/>
    <col min="6" max="6" width="14.140625" style="12" customWidth="1"/>
    <col min="7" max="16" width="14.140625" style="14" customWidth="1"/>
    <col min="17" max="17" width="16.28515625" style="14" customWidth="1"/>
    <col min="18" max="21" width="14.140625" style="14" customWidth="1"/>
    <col min="22" max="22" width="13.140625" style="14" customWidth="1"/>
    <col min="23" max="23" width="14.140625" style="14" customWidth="1"/>
    <col min="24" max="24" width="14.140625" style="12" customWidth="1"/>
    <col min="25" max="30" width="14.140625" style="14" customWidth="1"/>
    <col min="31" max="31" width="15.85546875" style="14" customWidth="1"/>
    <col min="32" max="37" width="14.140625" style="14" customWidth="1"/>
    <col min="38" max="40" width="14.140625" style="12" customWidth="1"/>
    <col min="41" max="41" width="20.140625" style="12" bestFit="1" customWidth="1"/>
    <col min="42" max="16384" width="8" style="12"/>
  </cols>
  <sheetData>
    <row r="1" spans="1:52" ht="15" customHeight="1">
      <c r="H1" s="14" t="s">
        <v>558</v>
      </c>
      <c r="V1" s="15"/>
    </row>
    <row r="2" spans="1:52">
      <c r="E2" s="13" t="s">
        <v>117</v>
      </c>
      <c r="F2" s="30">
        <v>1</v>
      </c>
      <c r="G2" s="30">
        <v>2</v>
      </c>
      <c r="H2" s="30">
        <v>3</v>
      </c>
      <c r="I2" s="30">
        <v>4</v>
      </c>
      <c r="J2" s="30">
        <v>5</v>
      </c>
      <c r="K2" s="30">
        <v>6</v>
      </c>
      <c r="L2" s="30">
        <v>7</v>
      </c>
      <c r="M2" s="30">
        <v>8</v>
      </c>
      <c r="N2" s="30">
        <v>9</v>
      </c>
      <c r="O2" s="30">
        <v>10</v>
      </c>
      <c r="P2" s="30">
        <v>11</v>
      </c>
      <c r="Q2" s="30">
        <v>12</v>
      </c>
      <c r="R2" s="30">
        <v>13</v>
      </c>
      <c r="S2" s="30">
        <v>14</v>
      </c>
      <c r="T2" s="30">
        <v>15</v>
      </c>
      <c r="U2" s="30">
        <v>16</v>
      </c>
      <c r="V2" s="30">
        <v>17</v>
      </c>
      <c r="W2" s="30">
        <v>18</v>
      </c>
      <c r="X2" s="30">
        <v>19</v>
      </c>
      <c r="Y2" s="30">
        <v>20</v>
      </c>
      <c r="Z2" s="30">
        <v>21</v>
      </c>
      <c r="AA2" s="30">
        <v>22</v>
      </c>
      <c r="AB2" s="30">
        <v>23</v>
      </c>
      <c r="AC2" s="30">
        <v>24</v>
      </c>
      <c r="AD2" s="30">
        <v>25</v>
      </c>
      <c r="AE2" s="30">
        <v>26</v>
      </c>
      <c r="AF2" s="30">
        <v>27</v>
      </c>
      <c r="AG2" s="30">
        <v>28</v>
      </c>
      <c r="AH2" s="30">
        <v>29</v>
      </c>
      <c r="AI2" s="30">
        <v>30</v>
      </c>
      <c r="AJ2" s="30">
        <v>31</v>
      </c>
      <c r="AK2" s="30">
        <v>32</v>
      </c>
      <c r="AL2" s="30">
        <v>33</v>
      </c>
      <c r="AM2" s="30">
        <v>34</v>
      </c>
    </row>
    <row r="3" spans="1:52" s="15" customFormat="1" ht="60.75" customHeight="1">
      <c r="E3" s="40" t="s">
        <v>0</v>
      </c>
      <c r="F3" s="45" t="s">
        <v>120</v>
      </c>
      <c r="G3" s="49" t="s">
        <v>125</v>
      </c>
      <c r="H3" s="50" t="s">
        <v>126</v>
      </c>
      <c r="I3" s="49" t="s">
        <v>127</v>
      </c>
      <c r="J3" s="51" t="s">
        <v>128</v>
      </c>
      <c r="K3" s="52" t="s">
        <v>129</v>
      </c>
      <c r="L3" s="51" t="s">
        <v>121</v>
      </c>
      <c r="M3" s="51" t="s">
        <v>131</v>
      </c>
      <c r="N3" s="51" t="s">
        <v>130</v>
      </c>
      <c r="O3" s="52" t="s">
        <v>132</v>
      </c>
      <c r="P3" s="52" t="s">
        <v>133</v>
      </c>
      <c r="Q3" s="84" t="s">
        <v>219</v>
      </c>
      <c r="R3" s="52" t="s">
        <v>218</v>
      </c>
      <c r="S3" s="51" t="s">
        <v>134</v>
      </c>
      <c r="T3" s="52" t="s">
        <v>135</v>
      </c>
      <c r="U3" s="51" t="s">
        <v>136</v>
      </c>
      <c r="V3" s="52" t="s">
        <v>145</v>
      </c>
      <c r="W3" s="52" t="s">
        <v>137</v>
      </c>
      <c r="X3" s="54" t="s">
        <v>165</v>
      </c>
      <c r="Y3" s="51" t="s">
        <v>138</v>
      </c>
      <c r="Z3" s="52" t="s">
        <v>139</v>
      </c>
      <c r="AA3" s="52" t="s">
        <v>4</v>
      </c>
      <c r="AB3" s="52" t="s">
        <v>140</v>
      </c>
      <c r="AC3" s="53" t="s">
        <v>122</v>
      </c>
      <c r="AD3" s="51" t="s">
        <v>141</v>
      </c>
      <c r="AE3" s="208" t="s">
        <v>559</v>
      </c>
      <c r="AF3" s="51" t="s">
        <v>142</v>
      </c>
      <c r="AG3" s="52" t="s">
        <v>143</v>
      </c>
      <c r="AH3" s="51" t="s">
        <v>144</v>
      </c>
      <c r="AI3" s="51" t="s">
        <v>123</v>
      </c>
      <c r="AJ3" s="51" t="s">
        <v>124</v>
      </c>
      <c r="AK3" s="52" t="s">
        <v>500</v>
      </c>
      <c r="AL3" s="51" t="s">
        <v>146</v>
      </c>
      <c r="AM3" s="60" t="s">
        <v>158</v>
      </c>
      <c r="AY3" s="12"/>
    </row>
    <row r="4" spans="1:52" ht="15" customHeight="1">
      <c r="C4" s="131" t="s">
        <v>15</v>
      </c>
      <c r="E4" s="36" t="s">
        <v>1</v>
      </c>
      <c r="F4" s="46">
        <v>8285</v>
      </c>
      <c r="G4" s="49">
        <v>1776</v>
      </c>
      <c r="H4" s="50">
        <v>5782</v>
      </c>
      <c r="I4" s="49">
        <v>723</v>
      </c>
      <c r="J4" s="50">
        <v>394</v>
      </c>
      <c r="K4" s="49">
        <v>4397</v>
      </c>
      <c r="L4" s="50">
        <v>7050</v>
      </c>
      <c r="M4" s="50">
        <v>9340</v>
      </c>
      <c r="N4" s="50">
        <v>1780</v>
      </c>
      <c r="O4" s="49">
        <v>3872</v>
      </c>
      <c r="P4" s="49">
        <v>1958</v>
      </c>
      <c r="Q4" s="49">
        <v>3099</v>
      </c>
      <c r="R4" s="49">
        <v>8859</v>
      </c>
      <c r="S4" s="50">
        <v>7672</v>
      </c>
      <c r="T4" s="49">
        <v>7304</v>
      </c>
      <c r="U4" s="50">
        <v>7852</v>
      </c>
      <c r="V4" s="49">
        <v>804</v>
      </c>
      <c r="W4" s="49">
        <v>319</v>
      </c>
      <c r="X4" s="30">
        <v>9015</v>
      </c>
      <c r="Y4" s="50">
        <v>8847</v>
      </c>
      <c r="Z4" s="49">
        <v>257</v>
      </c>
      <c r="AA4" s="49">
        <v>928</v>
      </c>
      <c r="AB4" s="49">
        <v>9395</v>
      </c>
      <c r="AC4" s="55">
        <v>9921</v>
      </c>
      <c r="AD4" s="50">
        <v>7816</v>
      </c>
      <c r="AE4" s="50" t="s">
        <v>546</v>
      </c>
      <c r="AF4" s="50">
        <v>76</v>
      </c>
      <c r="AG4" s="49">
        <v>6281</v>
      </c>
      <c r="AH4" s="50">
        <v>8606</v>
      </c>
      <c r="AI4" s="50">
        <v>551</v>
      </c>
      <c r="AJ4" s="50">
        <v>151</v>
      </c>
      <c r="AK4" s="49">
        <v>2153</v>
      </c>
      <c r="AL4" s="50">
        <v>1705</v>
      </c>
      <c r="AM4" s="206">
        <v>0</v>
      </c>
    </row>
    <row r="5" spans="1:52">
      <c r="C5" s="130" t="s">
        <v>17</v>
      </c>
      <c r="E5" s="78" t="s">
        <v>2</v>
      </c>
      <c r="F5" s="46" t="s">
        <v>10</v>
      </c>
      <c r="G5" s="79" t="s">
        <v>6</v>
      </c>
      <c r="H5" s="80" t="s">
        <v>7</v>
      </c>
      <c r="I5" s="79" t="s">
        <v>147</v>
      </c>
      <c r="J5" s="80" t="s">
        <v>8</v>
      </c>
      <c r="K5" s="79" t="s">
        <v>11</v>
      </c>
      <c r="L5" s="80" t="s">
        <v>12</v>
      </c>
      <c r="M5" s="80" t="s">
        <v>148</v>
      </c>
      <c r="N5" s="80" t="s">
        <v>8</v>
      </c>
      <c r="O5" s="79" t="s">
        <v>149</v>
      </c>
      <c r="P5" s="79" t="s">
        <v>6</v>
      </c>
      <c r="Q5" s="85" t="s">
        <v>11</v>
      </c>
      <c r="R5" s="79" t="s">
        <v>164</v>
      </c>
      <c r="S5" s="80" t="s">
        <v>9</v>
      </c>
      <c r="T5" s="79" t="s">
        <v>6</v>
      </c>
      <c r="U5" s="80" t="s">
        <v>150</v>
      </c>
      <c r="V5" s="79" t="s">
        <v>6</v>
      </c>
      <c r="W5" s="79" t="s">
        <v>151</v>
      </c>
      <c r="X5" s="81" t="s">
        <v>166</v>
      </c>
      <c r="Y5" s="80" t="s">
        <v>152</v>
      </c>
      <c r="Z5" s="79" t="s">
        <v>10</v>
      </c>
      <c r="AA5" s="79" t="s">
        <v>4</v>
      </c>
      <c r="AB5" s="79" t="s">
        <v>5</v>
      </c>
      <c r="AC5" s="65" t="s">
        <v>157</v>
      </c>
      <c r="AD5" s="80" t="s">
        <v>153</v>
      </c>
      <c r="AE5" s="209" t="s">
        <v>521</v>
      </c>
      <c r="AF5" s="80" t="s">
        <v>3</v>
      </c>
      <c r="AG5" s="79" t="s">
        <v>11</v>
      </c>
      <c r="AH5" s="80" t="s">
        <v>154</v>
      </c>
      <c r="AI5" s="80" t="s">
        <v>155</v>
      </c>
      <c r="AJ5" s="80" t="s">
        <v>156</v>
      </c>
      <c r="AK5" s="79" t="s">
        <v>13</v>
      </c>
      <c r="AL5" s="80" t="s">
        <v>7</v>
      </c>
      <c r="AM5" s="67" t="s">
        <v>8</v>
      </c>
    </row>
    <row r="6" spans="1:52">
      <c r="A6" s="11"/>
      <c r="C6" s="134" t="s">
        <v>18</v>
      </c>
      <c r="E6" s="41" t="s">
        <v>16</v>
      </c>
      <c r="F6" s="82">
        <v>46266</v>
      </c>
      <c r="G6" s="107">
        <v>46275</v>
      </c>
      <c r="H6" s="47">
        <v>46281</v>
      </c>
      <c r="I6" s="107">
        <v>46286</v>
      </c>
      <c r="J6" s="108">
        <v>46289</v>
      </c>
      <c r="K6" s="109">
        <v>46295</v>
      </c>
      <c r="L6" s="107">
        <v>46296</v>
      </c>
      <c r="M6" s="108">
        <v>46304</v>
      </c>
      <c r="N6" s="109">
        <v>46315</v>
      </c>
      <c r="O6" s="109">
        <v>46328</v>
      </c>
      <c r="P6" s="48">
        <v>46449</v>
      </c>
      <c r="Q6" s="110">
        <v>46332</v>
      </c>
      <c r="R6" s="111">
        <v>46340</v>
      </c>
      <c r="S6" s="112">
        <v>46342</v>
      </c>
      <c r="T6" s="111">
        <v>46346</v>
      </c>
      <c r="U6" s="108">
        <v>46346</v>
      </c>
      <c r="V6" s="111">
        <v>46350</v>
      </c>
      <c r="W6" s="107">
        <v>46352</v>
      </c>
      <c r="X6" s="111">
        <v>46352</v>
      </c>
      <c r="Y6" s="109">
        <v>46360</v>
      </c>
      <c r="Z6" s="111">
        <v>46394</v>
      </c>
      <c r="AA6" s="47">
        <v>46406</v>
      </c>
      <c r="AB6" s="108">
        <v>46413</v>
      </c>
      <c r="AC6" s="113">
        <v>46416</v>
      </c>
      <c r="AD6" s="107">
        <v>46426</v>
      </c>
      <c r="AE6" s="107">
        <v>46431</v>
      </c>
      <c r="AF6" s="109">
        <v>46434</v>
      </c>
      <c r="AG6" s="109">
        <v>46462</v>
      </c>
      <c r="AH6" s="108">
        <v>46477</v>
      </c>
      <c r="AI6" s="107">
        <v>46484</v>
      </c>
      <c r="AJ6" s="109">
        <v>46504</v>
      </c>
      <c r="AK6" s="107">
        <v>46532</v>
      </c>
      <c r="AL6" s="111">
        <v>46548</v>
      </c>
      <c r="AM6" s="66">
        <v>46550</v>
      </c>
    </row>
    <row r="7" spans="1:52" ht="15" customHeight="1">
      <c r="C7" s="140" t="s">
        <v>26</v>
      </c>
      <c r="E7" s="42" t="s">
        <v>119</v>
      </c>
      <c r="F7" s="58">
        <f t="shared" ref="F7:AM7" si="0">COUNTIF(F10:F62,"YES")</f>
        <v>16</v>
      </c>
      <c r="G7" s="58">
        <f t="shared" si="0"/>
        <v>7</v>
      </c>
      <c r="H7" s="58">
        <f t="shared" si="0"/>
        <v>19</v>
      </c>
      <c r="I7" s="58">
        <f>COUNTIF(I10:I62,"YES")</f>
        <v>7</v>
      </c>
      <c r="J7" s="58">
        <f t="shared" si="0"/>
        <v>17</v>
      </c>
      <c r="K7" s="58">
        <f t="shared" si="0"/>
        <v>15</v>
      </c>
      <c r="L7" s="58">
        <f t="shared" si="0"/>
        <v>8</v>
      </c>
      <c r="M7" s="58">
        <f t="shared" si="0"/>
        <v>17</v>
      </c>
      <c r="N7" s="58">
        <f t="shared" si="0"/>
        <v>18</v>
      </c>
      <c r="O7" s="58">
        <f t="shared" si="0"/>
        <v>16</v>
      </c>
      <c r="P7" s="58">
        <f t="shared" si="0"/>
        <v>21</v>
      </c>
      <c r="Q7" s="58">
        <f t="shared" si="0"/>
        <v>41</v>
      </c>
      <c r="R7" s="58">
        <f t="shared" si="0"/>
        <v>12</v>
      </c>
      <c r="S7" s="58">
        <f t="shared" si="0"/>
        <v>14</v>
      </c>
      <c r="T7" s="58">
        <f t="shared" si="0"/>
        <v>14</v>
      </c>
      <c r="U7" s="58">
        <f t="shared" si="0"/>
        <v>16</v>
      </c>
      <c r="V7" s="58">
        <f>COUNTIF(V10:V62,"YES")</f>
        <v>13</v>
      </c>
      <c r="W7" s="58">
        <f t="shared" si="0"/>
        <v>8</v>
      </c>
      <c r="X7" s="58">
        <f t="shared" si="0"/>
        <v>11</v>
      </c>
      <c r="Y7" s="58">
        <f t="shared" si="0"/>
        <v>13</v>
      </c>
      <c r="Z7" s="58">
        <f t="shared" si="0"/>
        <v>15</v>
      </c>
      <c r="AA7" s="58">
        <f t="shared" si="0"/>
        <v>21</v>
      </c>
      <c r="AB7" s="58">
        <f t="shared" si="0"/>
        <v>18</v>
      </c>
      <c r="AC7" s="58">
        <f t="shared" si="0"/>
        <v>47</v>
      </c>
      <c r="AD7" s="58">
        <f t="shared" si="0"/>
        <v>9</v>
      </c>
      <c r="AE7" s="58"/>
      <c r="AF7" s="58">
        <f t="shared" si="0"/>
        <v>17</v>
      </c>
      <c r="AG7" s="58">
        <f t="shared" si="0"/>
        <v>16</v>
      </c>
      <c r="AH7" s="58">
        <f t="shared" si="0"/>
        <v>18</v>
      </c>
      <c r="AI7" s="58">
        <f t="shared" si="0"/>
        <v>10</v>
      </c>
      <c r="AJ7" s="58">
        <f t="shared" si="0"/>
        <v>16</v>
      </c>
      <c r="AK7" s="58">
        <f>COUNTIF(AK10:AK62,"YES")</f>
        <v>48</v>
      </c>
      <c r="AL7" s="58">
        <f t="shared" si="0"/>
        <v>13</v>
      </c>
      <c r="AM7" s="58">
        <f t="shared" si="0"/>
        <v>50</v>
      </c>
    </row>
    <row r="8" spans="1:52" ht="15" customHeight="1">
      <c r="C8" s="87" t="s">
        <v>27</v>
      </c>
      <c r="E8" s="57" t="s">
        <v>19</v>
      </c>
      <c r="F8" s="62" t="s">
        <v>22</v>
      </c>
      <c r="G8" s="62" t="s">
        <v>22</v>
      </c>
      <c r="H8" s="63" t="s">
        <v>20</v>
      </c>
      <c r="I8" s="62" t="s">
        <v>23</v>
      </c>
      <c r="J8" s="63" t="s">
        <v>25</v>
      </c>
      <c r="K8" s="62" t="s">
        <v>24</v>
      </c>
      <c r="L8" s="63" t="s">
        <v>25</v>
      </c>
      <c r="M8" s="63" t="s">
        <v>21</v>
      </c>
      <c r="N8" s="63" t="s">
        <v>25</v>
      </c>
      <c r="O8" s="62" t="s">
        <v>23</v>
      </c>
      <c r="P8" s="62" t="s">
        <v>22</v>
      </c>
      <c r="Q8" s="62" t="s">
        <v>24</v>
      </c>
      <c r="R8" s="62" t="s">
        <v>23</v>
      </c>
      <c r="S8" s="63" t="s">
        <v>25</v>
      </c>
      <c r="T8" s="62" t="s">
        <v>22</v>
      </c>
      <c r="U8" s="63" t="s">
        <v>20</v>
      </c>
      <c r="V8" s="62" t="s">
        <v>22</v>
      </c>
      <c r="W8" s="62" t="s">
        <v>24</v>
      </c>
      <c r="X8" s="83" t="s">
        <v>22</v>
      </c>
      <c r="Y8" s="63" t="s">
        <v>20</v>
      </c>
      <c r="Z8" s="62" t="s">
        <v>22</v>
      </c>
      <c r="AA8" s="62" t="s">
        <v>23</v>
      </c>
      <c r="AB8" s="62" t="s">
        <v>23</v>
      </c>
      <c r="AC8" s="64" t="s">
        <v>25</v>
      </c>
      <c r="AD8" s="63" t="s">
        <v>21</v>
      </c>
      <c r="AE8" s="63" t="s">
        <v>20</v>
      </c>
      <c r="AF8" s="63" t="s">
        <v>21</v>
      </c>
      <c r="AG8" s="62" t="s">
        <v>24</v>
      </c>
      <c r="AH8" s="63" t="s">
        <v>25</v>
      </c>
      <c r="AI8" s="63" t="s">
        <v>20</v>
      </c>
      <c r="AJ8" s="63" t="s">
        <v>20</v>
      </c>
      <c r="AK8" s="62" t="s">
        <v>22</v>
      </c>
      <c r="AL8" s="63" t="s">
        <v>20</v>
      </c>
      <c r="AM8" s="61" t="s">
        <v>8</v>
      </c>
    </row>
    <row r="9" spans="1:52" ht="15" customHeight="1">
      <c r="E9" s="44" t="s">
        <v>118</v>
      </c>
      <c r="F9" s="7"/>
      <c r="G9" s="16"/>
      <c r="H9" s="16"/>
      <c r="I9" s="16"/>
      <c r="J9" s="16" t="s">
        <v>569</v>
      </c>
      <c r="K9" s="17"/>
      <c r="L9" s="16" t="s">
        <v>569</v>
      </c>
      <c r="M9" s="16"/>
      <c r="N9" s="16"/>
      <c r="O9" s="8"/>
      <c r="P9" s="16"/>
      <c r="Q9" s="16"/>
      <c r="R9" s="17"/>
      <c r="S9" s="17"/>
      <c r="T9" s="16"/>
      <c r="U9" s="16"/>
      <c r="W9" s="16"/>
      <c r="Y9" s="16"/>
      <c r="Z9" s="16"/>
      <c r="AA9" s="17"/>
      <c r="AB9" s="18"/>
      <c r="AC9" s="16"/>
      <c r="AD9" s="16"/>
      <c r="AE9" s="16"/>
      <c r="AF9" s="16"/>
      <c r="AG9" s="16"/>
      <c r="AH9" s="16"/>
      <c r="AI9" s="16"/>
      <c r="AJ9" s="16"/>
      <c r="AK9" s="16"/>
      <c r="AN9" s="44" t="s">
        <v>118</v>
      </c>
    </row>
    <row r="10" spans="1:52" s="20" customFormat="1">
      <c r="A10" s="34" t="s">
        <v>14</v>
      </c>
      <c r="B10" s="35" t="s">
        <v>28</v>
      </c>
      <c r="C10" s="35" t="s">
        <v>29</v>
      </c>
      <c r="D10" s="35" t="s">
        <v>14</v>
      </c>
      <c r="E10" s="43">
        <f t="shared" ref="E10:E41" si="1">COUNTIF(F10:AM10,"YES")</f>
        <v>8</v>
      </c>
      <c r="F10" s="88"/>
      <c r="G10" s="88"/>
      <c r="H10" s="89" t="s">
        <v>30</v>
      </c>
      <c r="I10" s="88"/>
      <c r="J10" s="90"/>
      <c r="K10" s="88"/>
      <c r="L10" s="88"/>
      <c r="M10" s="90"/>
      <c r="N10" s="88"/>
      <c r="O10" s="88"/>
      <c r="P10" s="91" t="s">
        <v>30</v>
      </c>
      <c r="Q10" s="91" t="s">
        <v>30</v>
      </c>
      <c r="R10" s="92"/>
      <c r="S10" s="92"/>
      <c r="T10" s="90"/>
      <c r="U10" s="88"/>
      <c r="V10" s="90"/>
      <c r="W10" s="88"/>
      <c r="X10" s="88"/>
      <c r="Y10" s="90"/>
      <c r="Z10" s="88"/>
      <c r="AA10" s="91" t="s">
        <v>30</v>
      </c>
      <c r="AB10" s="90"/>
      <c r="AC10" s="91" t="s">
        <v>30</v>
      </c>
      <c r="AD10" s="88"/>
      <c r="AE10" s="91" t="s">
        <v>30</v>
      </c>
      <c r="AF10" s="88"/>
      <c r="AG10" s="88"/>
      <c r="AH10" s="88"/>
      <c r="AI10" s="88"/>
      <c r="AJ10" s="88"/>
      <c r="AK10" s="89" t="s">
        <v>30</v>
      </c>
      <c r="AL10" s="88"/>
      <c r="AM10" s="91" t="s">
        <v>30</v>
      </c>
      <c r="AN10" s="38">
        <f t="shared" ref="AN10:AN41" si="2">COUNTIF(F10:AM10,"YES")</f>
        <v>8</v>
      </c>
      <c r="AO10" s="37" t="str">
        <f t="shared" ref="AO10:AO41" si="3">B10&amp;" "&amp;C10</f>
        <v>Jonathan Whitaker</v>
      </c>
      <c r="AZ10" s="12"/>
    </row>
    <row r="11" spans="1:52" s="20" customFormat="1">
      <c r="A11" s="31" t="s">
        <v>220</v>
      </c>
      <c r="B11" s="32" t="s">
        <v>31</v>
      </c>
      <c r="C11" s="32" t="s">
        <v>32</v>
      </c>
      <c r="D11" s="33" t="s">
        <v>113</v>
      </c>
      <c r="E11" s="43">
        <f t="shared" si="1"/>
        <v>10</v>
      </c>
      <c r="F11" s="132"/>
      <c r="G11" s="94"/>
      <c r="H11" s="94"/>
      <c r="I11" s="94"/>
      <c r="J11" s="91" t="s">
        <v>30</v>
      </c>
      <c r="K11" s="94"/>
      <c r="L11" s="93"/>
      <c r="M11" s="91" t="s">
        <v>30</v>
      </c>
      <c r="N11" s="93"/>
      <c r="O11" s="94"/>
      <c r="P11" s="94"/>
      <c r="Q11" s="94" t="s">
        <v>30</v>
      </c>
      <c r="R11" s="95"/>
      <c r="S11" s="95"/>
      <c r="T11" s="90"/>
      <c r="U11" s="91" t="s">
        <v>30</v>
      </c>
      <c r="V11" s="93"/>
      <c r="W11" s="93"/>
      <c r="X11" s="93"/>
      <c r="Y11" s="94"/>
      <c r="Z11" s="94"/>
      <c r="AA11" s="94"/>
      <c r="AB11" s="91" t="s">
        <v>30</v>
      </c>
      <c r="AC11" s="94" t="s">
        <v>30</v>
      </c>
      <c r="AD11" s="94"/>
      <c r="AE11" s="88" t="s">
        <v>30</v>
      </c>
      <c r="AF11" s="94"/>
      <c r="AG11" s="94"/>
      <c r="AH11" s="91" t="s">
        <v>30</v>
      </c>
      <c r="AI11" s="93"/>
      <c r="AJ11" s="93"/>
      <c r="AK11" s="94" t="s">
        <v>30</v>
      </c>
      <c r="AL11" s="93"/>
      <c r="AM11" s="88" t="s">
        <v>30</v>
      </c>
      <c r="AN11" s="38">
        <f t="shared" si="2"/>
        <v>10</v>
      </c>
      <c r="AO11" s="37" t="str">
        <f t="shared" si="3"/>
        <v>James Kneller</v>
      </c>
      <c r="AZ11" s="12"/>
    </row>
    <row r="12" spans="1:52" s="20" customFormat="1">
      <c r="A12" s="19" t="s">
        <v>33</v>
      </c>
      <c r="B12" s="77" t="s">
        <v>217</v>
      </c>
      <c r="C12" s="1" t="s">
        <v>112</v>
      </c>
      <c r="D12" s="2" t="s">
        <v>114</v>
      </c>
      <c r="E12" s="43">
        <f t="shared" si="1"/>
        <v>13</v>
      </c>
      <c r="F12" s="131" t="s">
        <v>30</v>
      </c>
      <c r="G12" s="96"/>
      <c r="H12" s="21"/>
      <c r="I12" s="96"/>
      <c r="J12" s="21"/>
      <c r="K12" s="91" t="s">
        <v>30</v>
      </c>
      <c r="L12" s="21"/>
      <c r="M12" s="97"/>
      <c r="N12" s="91" t="s">
        <v>30</v>
      </c>
      <c r="O12" s="91" t="s">
        <v>30</v>
      </c>
      <c r="P12" s="94"/>
      <c r="Q12" s="94" t="s">
        <v>30</v>
      </c>
      <c r="R12" s="22"/>
      <c r="S12" s="22"/>
      <c r="T12" s="21"/>
      <c r="U12" s="97"/>
      <c r="V12" s="97"/>
      <c r="W12" s="21"/>
      <c r="X12" s="97"/>
      <c r="Y12" s="91" t="s">
        <v>30</v>
      </c>
      <c r="Z12" s="21"/>
      <c r="AA12" s="21"/>
      <c r="AB12" s="21"/>
      <c r="AC12" s="125" t="s">
        <v>30</v>
      </c>
      <c r="AD12" s="96"/>
      <c r="AE12" s="88" t="s">
        <v>30</v>
      </c>
      <c r="AF12" s="91" t="s">
        <v>30</v>
      </c>
      <c r="AG12" s="91" t="s">
        <v>30</v>
      </c>
      <c r="AH12" s="21"/>
      <c r="AI12" s="21"/>
      <c r="AJ12" s="91" t="s">
        <v>30</v>
      </c>
      <c r="AK12" s="96" t="s">
        <v>30</v>
      </c>
      <c r="AL12" s="97"/>
      <c r="AM12" s="88" t="s">
        <v>30</v>
      </c>
      <c r="AN12" s="38">
        <f t="shared" si="2"/>
        <v>13</v>
      </c>
      <c r="AO12" s="37" t="str">
        <f t="shared" si="3"/>
        <v>(James) Ian Preece</v>
      </c>
      <c r="AZ12" s="12"/>
    </row>
    <row r="13" spans="1:52" s="20" customFormat="1">
      <c r="A13" s="19" t="s">
        <v>34</v>
      </c>
      <c r="B13" s="1" t="s">
        <v>39</v>
      </c>
      <c r="C13" s="1" t="s">
        <v>40</v>
      </c>
      <c r="D13" s="2" t="s">
        <v>115</v>
      </c>
      <c r="E13" s="43">
        <f t="shared" si="1"/>
        <v>13</v>
      </c>
      <c r="F13" s="129"/>
      <c r="G13" s="21"/>
      <c r="H13" s="21"/>
      <c r="I13" s="97"/>
      <c r="J13" s="21"/>
      <c r="K13" s="96"/>
      <c r="L13" s="21"/>
      <c r="M13" s="21"/>
      <c r="N13" s="21"/>
      <c r="O13" s="21"/>
      <c r="P13" s="94" t="s">
        <v>30</v>
      </c>
      <c r="Q13" s="94" t="s">
        <v>30</v>
      </c>
      <c r="R13" s="91" t="s">
        <v>30</v>
      </c>
      <c r="S13" s="91" t="s">
        <v>30</v>
      </c>
      <c r="T13" s="91" t="s">
        <v>30</v>
      </c>
      <c r="U13" s="21"/>
      <c r="V13" s="91" t="s">
        <v>30</v>
      </c>
      <c r="W13" s="21"/>
      <c r="X13" s="91" t="s">
        <v>30</v>
      </c>
      <c r="Y13" s="21"/>
      <c r="Z13" s="91" t="s">
        <v>30</v>
      </c>
      <c r="AA13" s="96"/>
      <c r="AB13" s="21"/>
      <c r="AC13" s="94" t="s">
        <v>30</v>
      </c>
      <c r="AD13" s="21"/>
      <c r="AE13" s="88" t="s">
        <v>30</v>
      </c>
      <c r="AF13" s="21"/>
      <c r="AG13" s="21"/>
      <c r="AH13" s="21"/>
      <c r="AI13" s="21"/>
      <c r="AJ13" s="21"/>
      <c r="AK13" s="21" t="s">
        <v>30</v>
      </c>
      <c r="AL13" s="91" t="s">
        <v>30</v>
      </c>
      <c r="AM13" s="88" t="s">
        <v>30</v>
      </c>
      <c r="AN13" s="38">
        <f t="shared" si="2"/>
        <v>13</v>
      </c>
      <c r="AO13" s="37" t="str">
        <f t="shared" si="3"/>
        <v>Adrian Colin Fretter</v>
      </c>
      <c r="AZ13" s="12"/>
    </row>
    <row r="14" spans="1:52">
      <c r="A14" s="3" t="s">
        <v>35</v>
      </c>
      <c r="B14" s="3" t="s">
        <v>37</v>
      </c>
      <c r="C14" s="3" t="s">
        <v>38</v>
      </c>
      <c r="D14" s="4" t="s">
        <v>36</v>
      </c>
      <c r="E14" s="43">
        <f t="shared" si="1"/>
        <v>13</v>
      </c>
      <c r="F14" s="129" t="s">
        <v>30</v>
      </c>
      <c r="G14" s="21"/>
      <c r="H14" s="129"/>
      <c r="I14" s="129" t="s">
        <v>30</v>
      </c>
      <c r="J14" s="129" t="s">
        <v>30</v>
      </c>
      <c r="K14" s="21"/>
      <c r="L14" s="21"/>
      <c r="M14" s="21"/>
      <c r="N14" s="21"/>
      <c r="O14" s="21" t="s">
        <v>30</v>
      </c>
      <c r="P14" s="21" t="s">
        <v>30</v>
      </c>
      <c r="Q14" s="94" t="s">
        <v>30</v>
      </c>
      <c r="R14" s="21"/>
      <c r="S14" s="21"/>
      <c r="T14" s="21" t="s">
        <v>30</v>
      </c>
      <c r="U14" s="21"/>
      <c r="V14" s="21"/>
      <c r="W14" s="21"/>
      <c r="X14" s="21"/>
      <c r="Y14" s="21"/>
      <c r="Z14" s="21"/>
      <c r="AA14" s="94" t="s">
        <v>30</v>
      </c>
      <c r="AB14" s="94" t="s">
        <v>30</v>
      </c>
      <c r="AC14" s="94" t="s">
        <v>30</v>
      </c>
      <c r="AD14" s="21"/>
      <c r="AE14" s="88" t="s">
        <v>30</v>
      </c>
      <c r="AF14" s="21"/>
      <c r="AG14" s="21"/>
      <c r="AH14" s="21"/>
      <c r="AI14" s="129"/>
      <c r="AJ14" s="21"/>
      <c r="AK14" s="21" t="s">
        <v>30</v>
      </c>
      <c r="AL14" s="21"/>
      <c r="AM14" s="88" t="s">
        <v>30</v>
      </c>
      <c r="AN14" s="38">
        <f t="shared" si="2"/>
        <v>13</v>
      </c>
      <c r="AO14" s="37" t="str">
        <f t="shared" si="3"/>
        <v>Simon Edward Banham</v>
      </c>
    </row>
    <row r="15" spans="1:52">
      <c r="A15" s="3" t="s">
        <v>41</v>
      </c>
      <c r="B15" s="3" t="s">
        <v>42</v>
      </c>
      <c r="C15" s="3" t="s">
        <v>44</v>
      </c>
      <c r="D15" s="4" t="s">
        <v>45</v>
      </c>
      <c r="E15" s="43">
        <f t="shared" si="1"/>
        <v>13</v>
      </c>
      <c r="F15" s="129"/>
      <c r="G15" s="21"/>
      <c r="H15" s="21"/>
      <c r="I15" s="21"/>
      <c r="J15" s="21"/>
      <c r="K15" s="21"/>
      <c r="L15" s="21"/>
      <c r="M15" s="21" t="s">
        <v>30</v>
      </c>
      <c r="N15" s="94" t="s">
        <v>30</v>
      </c>
      <c r="O15" s="21"/>
      <c r="P15" s="94"/>
      <c r="Q15" s="94" t="s">
        <v>30</v>
      </c>
      <c r="R15" s="22"/>
      <c r="S15" s="21" t="s">
        <v>30</v>
      </c>
      <c r="T15" s="21"/>
      <c r="U15" s="21"/>
      <c r="V15" s="21" t="s">
        <v>30</v>
      </c>
      <c r="W15" s="21"/>
      <c r="X15" s="21"/>
      <c r="Y15" s="21"/>
      <c r="Z15" s="94" t="s">
        <v>30</v>
      </c>
      <c r="AA15" s="21"/>
      <c r="AB15" s="21" t="s">
        <v>30</v>
      </c>
      <c r="AC15" s="94" t="s">
        <v>30</v>
      </c>
      <c r="AD15" s="21"/>
      <c r="AE15" s="88" t="s">
        <v>30</v>
      </c>
      <c r="AF15" s="94" t="s">
        <v>30</v>
      </c>
      <c r="AG15" s="21"/>
      <c r="AH15" s="21"/>
      <c r="AI15" s="21"/>
      <c r="AJ15" s="21"/>
      <c r="AK15" s="21" t="s">
        <v>30</v>
      </c>
      <c r="AL15" s="21" t="s">
        <v>30</v>
      </c>
      <c r="AM15" s="88" t="s">
        <v>30</v>
      </c>
      <c r="AN15" s="38">
        <f t="shared" si="2"/>
        <v>13</v>
      </c>
      <c r="AO15" s="37" t="str">
        <f t="shared" si="3"/>
        <v>David Leslie Ryan</v>
      </c>
    </row>
    <row r="16" spans="1:52" ht="15.75" thickBot="1">
      <c r="A16" s="3" t="s">
        <v>46</v>
      </c>
      <c r="B16" s="3" t="s">
        <v>61</v>
      </c>
      <c r="C16" s="3" t="s">
        <v>167</v>
      </c>
      <c r="D16" s="4" t="s">
        <v>47</v>
      </c>
      <c r="E16" s="43">
        <f t="shared" si="1"/>
        <v>29</v>
      </c>
      <c r="F16" s="197" t="s">
        <v>30</v>
      </c>
      <c r="G16" s="91" t="s">
        <v>30</v>
      </c>
      <c r="H16" s="173" t="s">
        <v>30</v>
      </c>
      <c r="I16" s="91" t="s">
        <v>30</v>
      </c>
      <c r="J16" s="97" t="s">
        <v>30</v>
      </c>
      <c r="K16" s="97" t="s">
        <v>30</v>
      </c>
      <c r="L16" s="91" t="s">
        <v>30</v>
      </c>
      <c r="M16" s="21"/>
      <c r="N16" s="97" t="s">
        <v>30</v>
      </c>
      <c r="O16" s="97" t="s">
        <v>30</v>
      </c>
      <c r="P16" s="196" t="s">
        <v>30</v>
      </c>
      <c r="Q16" s="94" t="s">
        <v>30</v>
      </c>
      <c r="R16" s="22"/>
      <c r="S16" s="97" t="s">
        <v>30</v>
      </c>
      <c r="T16" s="97" t="s">
        <v>30</v>
      </c>
      <c r="U16" s="21"/>
      <c r="V16" s="97" t="s">
        <v>30</v>
      </c>
      <c r="W16" s="91" t="s">
        <v>30</v>
      </c>
      <c r="X16" s="97"/>
      <c r="Y16" s="21" t="s">
        <v>30</v>
      </c>
      <c r="Z16" s="198" t="s">
        <v>30</v>
      </c>
      <c r="AA16" s="97" t="s">
        <v>30</v>
      </c>
      <c r="AB16" s="97" t="s">
        <v>30</v>
      </c>
      <c r="AC16" s="125" t="s">
        <v>30</v>
      </c>
      <c r="AD16" s="91" t="s">
        <v>30</v>
      </c>
      <c r="AE16" s="88" t="s">
        <v>30</v>
      </c>
      <c r="AF16" s="97" t="s">
        <v>30</v>
      </c>
      <c r="AG16" s="97" t="s">
        <v>30</v>
      </c>
      <c r="AH16" s="198" t="s">
        <v>30</v>
      </c>
      <c r="AI16" s="91" t="s">
        <v>30</v>
      </c>
      <c r="AJ16" s="97" t="s">
        <v>30</v>
      </c>
      <c r="AK16" s="21" t="s">
        <v>30</v>
      </c>
      <c r="AL16" s="97"/>
      <c r="AM16" s="88" t="s">
        <v>30</v>
      </c>
      <c r="AN16" s="38">
        <f t="shared" si="2"/>
        <v>29</v>
      </c>
      <c r="AO16" s="37" t="str">
        <f t="shared" si="3"/>
        <v>John Donoghue</v>
      </c>
    </row>
    <row r="17" spans="1:41" ht="16.5" thickTop="1" thickBot="1">
      <c r="A17" s="3" t="s">
        <v>48</v>
      </c>
      <c r="B17" s="3" t="s">
        <v>49</v>
      </c>
      <c r="C17" s="3" t="s">
        <v>50</v>
      </c>
      <c r="D17" s="4" t="s">
        <v>51</v>
      </c>
      <c r="E17" s="43">
        <f t="shared" si="1"/>
        <v>14</v>
      </c>
      <c r="F17" s="129" t="s">
        <v>30</v>
      </c>
      <c r="G17" s="171"/>
      <c r="H17" s="176" t="s">
        <v>30</v>
      </c>
      <c r="I17" s="129"/>
      <c r="J17" s="129" t="s">
        <v>30</v>
      </c>
      <c r="K17" s="21"/>
      <c r="L17" s="21"/>
      <c r="M17" s="21"/>
      <c r="N17" s="21"/>
      <c r="O17" s="129" t="s">
        <v>30</v>
      </c>
      <c r="P17" s="21" t="s">
        <v>30</v>
      </c>
      <c r="Q17" s="176" t="s">
        <v>30</v>
      </c>
      <c r="R17" s="21"/>
      <c r="S17" s="21"/>
      <c r="T17" s="21"/>
      <c r="U17" s="21"/>
      <c r="V17" s="21"/>
      <c r="W17" s="129"/>
      <c r="X17" s="21"/>
      <c r="Y17" s="21"/>
      <c r="Z17" s="21"/>
      <c r="AA17" s="176" t="s">
        <v>30</v>
      </c>
      <c r="AB17" s="21" t="s">
        <v>30</v>
      </c>
      <c r="AC17" s="176" t="s">
        <v>30</v>
      </c>
      <c r="AD17" s="21"/>
      <c r="AE17" s="88" t="s">
        <v>30</v>
      </c>
      <c r="AF17" s="21"/>
      <c r="AG17" s="129" t="s">
        <v>30</v>
      </c>
      <c r="AH17" s="21"/>
      <c r="AI17" s="21"/>
      <c r="AJ17" s="21" t="s">
        <v>30</v>
      </c>
      <c r="AK17" s="21" t="s">
        <v>30</v>
      </c>
      <c r="AL17" s="21"/>
      <c r="AM17" s="88" t="s">
        <v>30</v>
      </c>
      <c r="AN17" s="38">
        <f t="shared" si="2"/>
        <v>14</v>
      </c>
      <c r="AO17" s="37" t="str">
        <f t="shared" si="3"/>
        <v>Anthony John Denton</v>
      </c>
    </row>
    <row r="18" spans="1:41" ht="15.75" thickTop="1">
      <c r="A18" s="3" t="s">
        <v>52</v>
      </c>
      <c r="B18" s="3" t="s">
        <v>248</v>
      </c>
      <c r="C18" s="3" t="s">
        <v>53</v>
      </c>
      <c r="D18" s="4" t="s">
        <v>54</v>
      </c>
      <c r="E18" s="43">
        <f t="shared" si="1"/>
        <v>13</v>
      </c>
      <c r="F18" s="129"/>
      <c r="G18" s="21"/>
      <c r="H18" s="132" t="s">
        <v>30</v>
      </c>
      <c r="I18" s="21"/>
      <c r="J18" s="21" t="s">
        <v>30</v>
      </c>
      <c r="K18" s="21"/>
      <c r="L18" s="21"/>
      <c r="M18" s="94" t="s">
        <v>30</v>
      </c>
      <c r="N18" s="21" t="s">
        <v>30</v>
      </c>
      <c r="O18" s="21"/>
      <c r="P18" s="21" t="s">
        <v>30</v>
      </c>
      <c r="Q18" s="125" t="s">
        <v>510</v>
      </c>
      <c r="R18" s="22"/>
      <c r="S18" s="94" t="s">
        <v>30</v>
      </c>
      <c r="T18" s="21"/>
      <c r="U18" s="21"/>
      <c r="V18" s="21"/>
      <c r="X18" s="21"/>
      <c r="Y18" s="21" t="s">
        <v>30</v>
      </c>
      <c r="Z18" s="21"/>
      <c r="AA18" s="21"/>
      <c r="AB18" s="21"/>
      <c r="AC18" s="125" t="s">
        <v>30</v>
      </c>
      <c r="AD18" s="21"/>
      <c r="AE18" s="88" t="s">
        <v>30</v>
      </c>
      <c r="AF18" s="21"/>
      <c r="AG18" s="21"/>
      <c r="AH18" s="21" t="s">
        <v>30</v>
      </c>
      <c r="AI18" s="21"/>
      <c r="AJ18" s="21" t="s">
        <v>30</v>
      </c>
      <c r="AK18" s="21" t="s">
        <v>30</v>
      </c>
      <c r="AL18" s="21"/>
      <c r="AM18" s="88" t="s">
        <v>30</v>
      </c>
      <c r="AN18" s="38">
        <f t="shared" si="2"/>
        <v>13</v>
      </c>
      <c r="AO18" s="37" t="str">
        <f t="shared" si="3"/>
        <v>Ronald John Griffiths</v>
      </c>
    </row>
    <row r="19" spans="1:41">
      <c r="A19" s="3" t="s">
        <v>55</v>
      </c>
      <c r="B19" s="3" t="s">
        <v>255</v>
      </c>
      <c r="C19" s="3" t="s">
        <v>56</v>
      </c>
      <c r="D19" s="4" t="s">
        <v>57</v>
      </c>
      <c r="E19" s="43">
        <f t="shared" si="1"/>
        <v>10</v>
      </c>
      <c r="F19" s="130" t="s">
        <v>30</v>
      </c>
      <c r="G19" s="21"/>
      <c r="H19" s="86" t="s">
        <v>30</v>
      </c>
      <c r="I19" s="21"/>
      <c r="J19" s="98"/>
      <c r="K19" s="21"/>
      <c r="L19" s="21"/>
      <c r="M19" s="98"/>
      <c r="N19" s="21"/>
      <c r="O19" s="21"/>
      <c r="P19" s="21" t="s">
        <v>30</v>
      </c>
      <c r="Q19" s="86" t="s">
        <v>30</v>
      </c>
      <c r="R19" s="142" t="s">
        <v>30</v>
      </c>
      <c r="S19" s="21"/>
      <c r="T19" s="98"/>
      <c r="U19" s="99"/>
      <c r="V19" s="21"/>
      <c r="W19" s="21"/>
      <c r="X19" s="21"/>
      <c r="Y19" s="98"/>
      <c r="Z19" s="21"/>
      <c r="AA19" s="86" t="s">
        <v>30</v>
      </c>
      <c r="AB19" s="98"/>
      <c r="AC19" s="86" t="s">
        <v>30</v>
      </c>
      <c r="AD19" s="21"/>
      <c r="AE19" s="88" t="s">
        <v>30</v>
      </c>
      <c r="AF19" s="21"/>
      <c r="AG19" s="21"/>
      <c r="AH19" s="21"/>
      <c r="AI19" s="21"/>
      <c r="AJ19" s="21"/>
      <c r="AK19" s="128" t="s">
        <v>30</v>
      </c>
      <c r="AL19" s="21"/>
      <c r="AM19" s="100" t="s">
        <v>30</v>
      </c>
      <c r="AN19" s="38">
        <f t="shared" si="2"/>
        <v>10</v>
      </c>
      <c r="AO19" s="37" t="str">
        <f t="shared" si="3"/>
        <v>Michael John Ingram</v>
      </c>
    </row>
    <row r="20" spans="1:41">
      <c r="A20" s="3" t="s">
        <v>58</v>
      </c>
      <c r="B20" s="3" t="s">
        <v>43</v>
      </c>
      <c r="C20" s="3" t="s">
        <v>518</v>
      </c>
      <c r="D20" s="4" t="s">
        <v>59</v>
      </c>
      <c r="E20" s="43">
        <f t="shared" si="1"/>
        <v>14</v>
      </c>
      <c r="F20" s="129"/>
      <c r="G20" s="21"/>
      <c r="H20" s="87" t="s">
        <v>30</v>
      </c>
      <c r="I20" s="21"/>
      <c r="J20" s="101"/>
      <c r="K20" s="21"/>
      <c r="L20" s="21"/>
      <c r="M20" s="102"/>
      <c r="N20" s="21"/>
      <c r="O20" s="21"/>
      <c r="P20" s="87" t="s">
        <v>30</v>
      </c>
      <c r="Q20" s="125" t="s">
        <v>30</v>
      </c>
      <c r="R20" s="22"/>
      <c r="S20" s="21" t="s">
        <v>30</v>
      </c>
      <c r="T20" s="101" t="s">
        <v>30</v>
      </c>
      <c r="U20" s="21" t="s">
        <v>30</v>
      </c>
      <c r="V20" s="21"/>
      <c r="W20" s="21"/>
      <c r="X20" s="21"/>
      <c r="Y20" s="21" t="s">
        <v>30</v>
      </c>
      <c r="Z20" s="21"/>
      <c r="AA20" s="126"/>
      <c r="AB20" s="101"/>
      <c r="AC20" s="87" t="s">
        <v>30</v>
      </c>
      <c r="AD20" s="21"/>
      <c r="AE20" s="88" t="s">
        <v>30</v>
      </c>
      <c r="AF20" s="21" t="s">
        <v>30</v>
      </c>
      <c r="AG20" s="21"/>
      <c r="AH20" s="21"/>
      <c r="AI20" s="21" t="s">
        <v>30</v>
      </c>
      <c r="AJ20" s="21" t="s">
        <v>30</v>
      </c>
      <c r="AK20" s="127" t="s">
        <v>30</v>
      </c>
      <c r="AL20" s="21"/>
      <c r="AM20" s="87" t="s">
        <v>30</v>
      </c>
      <c r="AN20" s="38">
        <f t="shared" si="2"/>
        <v>14</v>
      </c>
      <c r="AO20" s="37" t="str">
        <f t="shared" si="3"/>
        <v>David Hilton MBE, RN</v>
      </c>
    </row>
    <row r="21" spans="1:41" ht="15.75" thickBot="1">
      <c r="A21" s="3" t="s">
        <v>60</v>
      </c>
      <c r="B21" s="3" t="s">
        <v>270</v>
      </c>
      <c r="C21" s="3" t="s">
        <v>110</v>
      </c>
      <c r="D21" s="4" t="s">
        <v>62</v>
      </c>
      <c r="E21" s="43">
        <f t="shared" si="1"/>
        <v>13</v>
      </c>
      <c r="F21" s="129"/>
      <c r="G21" s="21"/>
      <c r="H21" s="21" t="s">
        <v>30</v>
      </c>
      <c r="I21" s="21"/>
      <c r="J21" s="21"/>
      <c r="K21" s="21" t="s">
        <v>30</v>
      </c>
      <c r="L21" s="21"/>
      <c r="M21" s="21"/>
      <c r="N21" s="21" t="s">
        <v>30</v>
      </c>
      <c r="O21" s="21"/>
      <c r="P21" s="21" t="s">
        <v>30</v>
      </c>
      <c r="Q21" s="125" t="s">
        <v>30</v>
      </c>
      <c r="R21" s="184"/>
      <c r="S21" s="21" t="s">
        <v>30</v>
      </c>
      <c r="T21" s="101" t="s">
        <v>30</v>
      </c>
      <c r="U21" s="21"/>
      <c r="V21" s="21"/>
      <c r="W21" s="21"/>
      <c r="X21" s="21"/>
      <c r="Y21" s="21" t="s">
        <v>510</v>
      </c>
      <c r="Z21" s="21"/>
      <c r="AA21" s="21"/>
      <c r="AB21" s="21" t="s">
        <v>30</v>
      </c>
      <c r="AC21" s="125" t="s">
        <v>30</v>
      </c>
      <c r="AD21" s="21"/>
      <c r="AE21" s="88" t="s">
        <v>30</v>
      </c>
      <c r="AF21" s="21"/>
      <c r="AG21" s="21"/>
      <c r="AH21" s="21"/>
      <c r="AI21" s="21"/>
      <c r="AJ21" s="21" t="s">
        <v>30</v>
      </c>
      <c r="AK21" s="21" t="s">
        <v>30</v>
      </c>
      <c r="AL21" s="21"/>
      <c r="AM21" s="88" t="s">
        <v>30</v>
      </c>
      <c r="AN21" s="38">
        <f t="shared" si="2"/>
        <v>13</v>
      </c>
      <c r="AO21" s="37" t="str">
        <f t="shared" si="3"/>
        <v>Paul Thomas Davies</v>
      </c>
    </row>
    <row r="22" spans="1:41" ht="16.5" thickTop="1" thickBot="1">
      <c r="A22" s="9" t="s">
        <v>63</v>
      </c>
      <c r="B22" s="9" t="s">
        <v>193</v>
      </c>
      <c r="C22" s="9" t="s">
        <v>168</v>
      </c>
      <c r="D22" s="10" t="s">
        <v>64</v>
      </c>
      <c r="E22" s="43">
        <f t="shared" si="1"/>
        <v>13</v>
      </c>
      <c r="F22" s="133"/>
      <c r="G22" s="21" t="s">
        <v>30</v>
      </c>
      <c r="H22" s="24"/>
      <c r="I22" s="24"/>
      <c r="J22" s="24"/>
      <c r="K22" s="24"/>
      <c r="L22" s="21"/>
      <c r="M22" s="24"/>
      <c r="N22" s="21" t="s">
        <v>30</v>
      </c>
      <c r="O22" s="24"/>
      <c r="P22" s="176" t="s">
        <v>30</v>
      </c>
      <c r="Q22" s="182" t="s">
        <v>30</v>
      </c>
      <c r="R22" s="176" t="s">
        <v>30</v>
      </c>
      <c r="S22" s="183"/>
      <c r="T22" s="24"/>
      <c r="U22" s="103"/>
      <c r="V22" s="24"/>
      <c r="W22" s="24"/>
      <c r="X22" s="24"/>
      <c r="Y22" s="21" t="s">
        <v>30</v>
      </c>
      <c r="Z22" s="24"/>
      <c r="AA22" s="24"/>
      <c r="AB22" s="21" t="s">
        <v>30</v>
      </c>
      <c r="AC22" s="125" t="s">
        <v>30</v>
      </c>
      <c r="AD22" s="21" t="s">
        <v>30</v>
      </c>
      <c r="AE22" s="88" t="s">
        <v>30</v>
      </c>
      <c r="AF22" s="24"/>
      <c r="AG22" s="24"/>
      <c r="AH22" s="24"/>
      <c r="AI22" s="24"/>
      <c r="AJ22" s="21" t="s">
        <v>30</v>
      </c>
      <c r="AK22" s="176" t="s">
        <v>30</v>
      </c>
      <c r="AL22" s="24"/>
      <c r="AM22" s="88" t="s">
        <v>30</v>
      </c>
      <c r="AN22" s="38">
        <f t="shared" si="2"/>
        <v>13</v>
      </c>
      <c r="AO22" s="39" t="str">
        <f t="shared" si="3"/>
        <v>Michael Graham Fellows</v>
      </c>
    </row>
    <row r="23" spans="1:41" ht="15.75" thickTop="1">
      <c r="A23" s="3" t="s">
        <v>65</v>
      </c>
      <c r="B23" s="3" t="s">
        <v>282</v>
      </c>
      <c r="C23" s="3" t="s">
        <v>67</v>
      </c>
      <c r="D23" s="4" t="s">
        <v>66</v>
      </c>
      <c r="E23" s="43">
        <f t="shared" si="1"/>
        <v>13</v>
      </c>
      <c r="F23" s="129"/>
      <c r="G23" s="86" t="s">
        <v>30</v>
      </c>
      <c r="H23" s="138" t="s">
        <v>30</v>
      </c>
      <c r="I23" s="98"/>
      <c r="J23" s="21"/>
      <c r="K23" s="21"/>
      <c r="L23" s="21"/>
      <c r="M23" s="21"/>
      <c r="N23" s="98"/>
      <c r="O23" s="21"/>
      <c r="P23" s="86" t="s">
        <v>30</v>
      </c>
      <c r="Q23" s="21" t="s">
        <v>30</v>
      </c>
      <c r="R23" s="185"/>
      <c r="S23" s="147" t="s">
        <v>30</v>
      </c>
      <c r="T23" s="129"/>
      <c r="U23" s="128" t="s">
        <v>30</v>
      </c>
      <c r="V23" s="98"/>
      <c r="W23" s="21"/>
      <c r="X23" s="98"/>
      <c r="Y23" s="86" t="s">
        <v>30</v>
      </c>
      <c r="Z23" s="21"/>
      <c r="AA23" s="21"/>
      <c r="AB23" s="21"/>
      <c r="AC23" s="21" t="s">
        <v>30</v>
      </c>
      <c r="AD23" s="21"/>
      <c r="AE23" s="88" t="s">
        <v>30</v>
      </c>
      <c r="AF23" s="21"/>
      <c r="AG23" s="21"/>
      <c r="AH23" s="21"/>
      <c r="AI23" s="138" t="s">
        <v>30</v>
      </c>
      <c r="AJ23" s="98" t="s">
        <v>30</v>
      </c>
      <c r="AK23" s="21" t="s">
        <v>30</v>
      </c>
      <c r="AL23" s="98"/>
      <c r="AM23" s="88" t="s">
        <v>30</v>
      </c>
      <c r="AN23" s="38">
        <f t="shared" si="2"/>
        <v>13</v>
      </c>
      <c r="AO23" s="37" t="str">
        <f t="shared" si="3"/>
        <v>Anthony William Latter</v>
      </c>
    </row>
    <row r="24" spans="1:41">
      <c r="A24" s="3" t="s">
        <v>65</v>
      </c>
      <c r="B24" s="3" t="s">
        <v>289</v>
      </c>
      <c r="C24" s="3" t="s">
        <v>68</v>
      </c>
      <c r="D24" s="4" t="s">
        <v>66</v>
      </c>
      <c r="E24" s="43">
        <f t="shared" si="1"/>
        <v>12</v>
      </c>
      <c r="F24" s="129"/>
      <c r="G24" s="98"/>
      <c r="H24" s="21"/>
      <c r="J24" s="21"/>
      <c r="K24" s="98" t="s">
        <v>30</v>
      </c>
      <c r="L24" s="145" t="s">
        <v>30</v>
      </c>
      <c r="M24" s="86" t="s">
        <v>30</v>
      </c>
      <c r="N24" s="21"/>
      <c r="O24" s="21"/>
      <c r="P24" s="21"/>
      <c r="Q24" s="21" t="s">
        <v>30</v>
      </c>
      <c r="R24" s="22"/>
      <c r="T24" s="138" t="s">
        <v>30</v>
      </c>
      <c r="U24" s="21"/>
      <c r="V24" s="86" t="s">
        <v>30</v>
      </c>
      <c r="W24" s="86" t="s">
        <v>30</v>
      </c>
      <c r="X24" s="204" t="s">
        <v>510</v>
      </c>
      <c r="Y24" s="21"/>
      <c r="Z24" s="21"/>
      <c r="AA24" s="21"/>
      <c r="AB24" s="138" t="s">
        <v>30</v>
      </c>
      <c r="AC24" s="21" t="s">
        <v>510</v>
      </c>
      <c r="AD24" s="99"/>
      <c r="AE24" s="88" t="s">
        <v>510</v>
      </c>
      <c r="AF24" s="21"/>
      <c r="AG24" s="86" t="s">
        <v>30</v>
      </c>
      <c r="AH24" s="138" t="s">
        <v>30</v>
      </c>
      <c r="AI24" s="98"/>
      <c r="AJ24" s="21"/>
      <c r="AK24" s="21" t="s">
        <v>30</v>
      </c>
      <c r="AL24" s="21"/>
      <c r="AM24" s="88" t="s">
        <v>30</v>
      </c>
      <c r="AN24" s="38">
        <f t="shared" si="2"/>
        <v>12</v>
      </c>
      <c r="AO24" s="37" t="str">
        <f t="shared" si="3"/>
        <v>Christopher John Wolohan</v>
      </c>
    </row>
    <row r="25" spans="1:41">
      <c r="A25" s="3" t="s">
        <v>65</v>
      </c>
      <c r="B25" s="3" t="s">
        <v>194</v>
      </c>
      <c r="C25" s="3" t="s">
        <v>169</v>
      </c>
      <c r="D25" s="4" t="s">
        <v>66</v>
      </c>
      <c r="E25" s="43">
        <f t="shared" si="1"/>
        <v>14</v>
      </c>
      <c r="F25" s="140" t="s">
        <v>30</v>
      </c>
      <c r="G25" s="21"/>
      <c r="H25" s="21"/>
      <c r="I25" s="86" t="s">
        <v>30</v>
      </c>
      <c r="J25" s="86" t="s">
        <v>30</v>
      </c>
      <c r="K25" s="86" t="s">
        <v>30</v>
      </c>
      <c r="L25" s="21"/>
      <c r="N25" s="86" t="s">
        <v>30</v>
      </c>
      <c r="O25" s="98"/>
      <c r="P25" s="138" t="s">
        <v>30</v>
      </c>
      <c r="Q25" s="21" t="s">
        <v>30</v>
      </c>
      <c r="R25" s="22"/>
      <c r="S25" s="99"/>
      <c r="T25" s="21"/>
      <c r="U25" s="21"/>
      <c r="W25" s="21"/>
      <c r="X25" s="86" t="s">
        <v>30</v>
      </c>
      <c r="Y25" s="102"/>
      <c r="Z25" s="99"/>
      <c r="AA25" s="138" t="s">
        <v>30</v>
      </c>
      <c r="AB25" s="21"/>
      <c r="AC25" s="21" t="s">
        <v>30</v>
      </c>
      <c r="AD25" s="102"/>
      <c r="AE25" s="88" t="s">
        <v>30</v>
      </c>
      <c r="AF25" s="98"/>
      <c r="AG25" s="138" t="s">
        <v>30</v>
      </c>
      <c r="AH25" s="21"/>
      <c r="AI25" s="21"/>
      <c r="AJ25" s="21"/>
      <c r="AK25" s="21" t="s">
        <v>30</v>
      </c>
      <c r="AL25" s="21"/>
      <c r="AM25" s="88" t="s">
        <v>30</v>
      </c>
      <c r="AN25" s="38">
        <f t="shared" si="2"/>
        <v>14</v>
      </c>
      <c r="AO25" s="37" t="str">
        <f t="shared" si="3"/>
        <v>Robert Shane Wilson</v>
      </c>
    </row>
    <row r="26" spans="1:41">
      <c r="A26" s="3" t="s">
        <v>69</v>
      </c>
      <c r="B26" s="3" t="s">
        <v>195</v>
      </c>
      <c r="C26" s="12" t="s">
        <v>170</v>
      </c>
      <c r="D26" s="4" t="s">
        <v>71</v>
      </c>
      <c r="E26" s="43">
        <f t="shared" si="1"/>
        <v>11</v>
      </c>
      <c r="F26" s="129" t="s">
        <v>30</v>
      </c>
      <c r="G26" s="21"/>
      <c r="H26" s="101"/>
      <c r="I26" s="21"/>
      <c r="J26" s="21"/>
      <c r="K26" s="21"/>
      <c r="L26" s="21"/>
      <c r="M26" s="101" t="s">
        <v>30</v>
      </c>
      <c r="N26" s="21"/>
      <c r="O26" s="21"/>
      <c r="P26" s="126"/>
      <c r="Q26" s="87" t="s">
        <v>510</v>
      </c>
      <c r="R26" s="22"/>
      <c r="S26" s="101" t="s">
        <v>30</v>
      </c>
      <c r="T26" s="101" t="s">
        <v>30</v>
      </c>
      <c r="U26" s="21"/>
      <c r="V26" s="21"/>
      <c r="W26" s="21"/>
      <c r="X26" s="101" t="s">
        <v>30</v>
      </c>
      <c r="Y26" s="101"/>
      <c r="Z26" s="21"/>
      <c r="AA26" s="87" t="s">
        <v>30</v>
      </c>
      <c r="AB26" s="23"/>
      <c r="AC26" s="125" t="s">
        <v>30</v>
      </c>
      <c r="AD26" s="101" t="s">
        <v>30</v>
      </c>
      <c r="AE26" s="88" t="s">
        <v>30</v>
      </c>
      <c r="AF26" s="21"/>
      <c r="AG26" s="21"/>
      <c r="AH26" s="97"/>
      <c r="AI26" s="21"/>
      <c r="AJ26" s="21"/>
      <c r="AK26" s="87" t="s">
        <v>30</v>
      </c>
      <c r="AL26" s="21"/>
      <c r="AM26" s="88" t="s">
        <v>30</v>
      </c>
      <c r="AN26" s="38">
        <f t="shared" si="2"/>
        <v>11</v>
      </c>
      <c r="AO26" s="37" t="str">
        <f t="shared" si="3"/>
        <v>Mark James Legg</v>
      </c>
    </row>
    <row r="27" spans="1:41">
      <c r="A27" s="3" t="s">
        <v>72</v>
      </c>
      <c r="B27" s="3" t="s">
        <v>309</v>
      </c>
      <c r="C27" s="3" t="s">
        <v>74</v>
      </c>
      <c r="D27" s="4" t="s">
        <v>75</v>
      </c>
      <c r="E27" s="43">
        <f t="shared" si="1"/>
        <v>14</v>
      </c>
      <c r="F27" s="129" t="s">
        <v>30</v>
      </c>
      <c r="G27" s="21"/>
      <c r="H27" s="21"/>
      <c r="I27" s="21"/>
      <c r="J27" s="21"/>
      <c r="K27" s="21"/>
      <c r="L27" s="129"/>
      <c r="M27" s="21"/>
      <c r="N27" s="21"/>
      <c r="O27" s="21"/>
      <c r="P27" s="21" t="s">
        <v>30</v>
      </c>
      <c r="Q27" s="125" t="s">
        <v>30</v>
      </c>
      <c r="R27" s="22"/>
      <c r="S27" s="101" t="s">
        <v>30</v>
      </c>
      <c r="T27" s="21"/>
      <c r="U27" s="125" t="s">
        <v>30</v>
      </c>
      <c r="V27" s="125" t="s">
        <v>30</v>
      </c>
      <c r="W27" s="21"/>
      <c r="X27" s="21"/>
      <c r="Y27" s="21"/>
      <c r="Z27" s="125" t="s">
        <v>30</v>
      </c>
      <c r="AA27" s="21"/>
      <c r="AB27" s="21" t="s">
        <v>505</v>
      </c>
      <c r="AC27" s="125" t="s">
        <v>30</v>
      </c>
      <c r="AD27" s="125"/>
      <c r="AE27" s="88" t="s">
        <v>30</v>
      </c>
      <c r="AF27" s="21"/>
      <c r="AG27" s="21"/>
      <c r="AH27" s="125" t="s">
        <v>30</v>
      </c>
      <c r="AI27" s="21"/>
      <c r="AJ27" s="125"/>
      <c r="AK27" s="21" t="s">
        <v>30</v>
      </c>
      <c r="AL27" s="21" t="s">
        <v>30</v>
      </c>
      <c r="AM27" s="88" t="s">
        <v>30</v>
      </c>
      <c r="AN27" s="38">
        <f t="shared" si="2"/>
        <v>14</v>
      </c>
      <c r="AO27" s="37" t="str">
        <f t="shared" si="3"/>
        <v>Malcolm James Collier</v>
      </c>
    </row>
    <row r="28" spans="1:41">
      <c r="A28" s="3" t="s">
        <v>76</v>
      </c>
      <c r="B28" s="3" t="s">
        <v>315</v>
      </c>
      <c r="C28" s="3" t="s">
        <v>77</v>
      </c>
      <c r="D28" s="4" t="s">
        <v>78</v>
      </c>
      <c r="E28" s="43">
        <f t="shared" si="1"/>
        <v>15</v>
      </c>
      <c r="F28" s="129" t="s">
        <v>30</v>
      </c>
      <c r="G28" s="21"/>
      <c r="H28" s="129" t="s">
        <v>30</v>
      </c>
      <c r="I28" s="21"/>
      <c r="J28" s="21"/>
      <c r="K28" s="21"/>
      <c r="L28" s="21"/>
      <c r="M28" s="21"/>
      <c r="N28" s="101" t="s">
        <v>30</v>
      </c>
      <c r="O28" s="21"/>
      <c r="P28" s="21" t="s">
        <v>30</v>
      </c>
      <c r="Q28" s="125" t="s">
        <v>30</v>
      </c>
      <c r="R28" s="22"/>
      <c r="S28" s="21"/>
      <c r="U28" s="101" t="s">
        <v>30</v>
      </c>
      <c r="V28" s="97"/>
      <c r="W28" s="21"/>
      <c r="X28" s="97"/>
      <c r="Y28" s="101" t="s">
        <v>30</v>
      </c>
      <c r="Z28" s="21"/>
      <c r="AA28" s="21" t="s">
        <v>30</v>
      </c>
      <c r="AB28" s="21"/>
      <c r="AC28" s="125" t="s">
        <v>30</v>
      </c>
      <c r="AD28" s="97"/>
      <c r="AE28" s="88" t="s">
        <v>30</v>
      </c>
      <c r="AF28" s="97"/>
      <c r="AG28" s="97"/>
      <c r="AH28" s="21"/>
      <c r="AI28" s="21" t="s">
        <v>30</v>
      </c>
      <c r="AJ28" s="125" t="s">
        <v>30</v>
      </c>
      <c r="AK28" s="21" t="s">
        <v>30</v>
      </c>
      <c r="AL28" s="21" t="s">
        <v>30</v>
      </c>
      <c r="AM28" s="88" t="s">
        <v>30</v>
      </c>
      <c r="AN28" s="38">
        <f t="shared" si="2"/>
        <v>15</v>
      </c>
      <c r="AO28" s="37" t="str">
        <f t="shared" si="3"/>
        <v>David Robert Wood</v>
      </c>
    </row>
    <row r="29" spans="1:41">
      <c r="A29" s="3" t="s">
        <v>79</v>
      </c>
      <c r="B29" s="3" t="s">
        <v>80</v>
      </c>
      <c r="C29" s="3" t="s">
        <v>82</v>
      </c>
      <c r="D29" s="4" t="s">
        <v>83</v>
      </c>
      <c r="E29" s="43">
        <f t="shared" si="1"/>
        <v>11</v>
      </c>
      <c r="F29" s="129" t="s">
        <v>510</v>
      </c>
      <c r="G29" s="21"/>
      <c r="H29" s="129" t="s">
        <v>510</v>
      </c>
      <c r="I29" s="21"/>
      <c r="J29" s="21" t="s">
        <v>30</v>
      </c>
      <c r="K29" s="21"/>
      <c r="L29" s="21"/>
      <c r="M29" s="101" t="s">
        <v>30</v>
      </c>
      <c r="N29" s="21"/>
      <c r="O29" s="21"/>
      <c r="P29" s="21"/>
      <c r="Q29" s="125" t="s">
        <v>30</v>
      </c>
      <c r="R29" s="22"/>
      <c r="S29" s="21"/>
      <c r="T29" s="21"/>
      <c r="U29" s="21"/>
      <c r="V29" s="21"/>
      <c r="W29" s="21"/>
      <c r="X29" s="21"/>
      <c r="Y29" s="21"/>
      <c r="Z29" s="21"/>
      <c r="AA29" s="21" t="s">
        <v>30</v>
      </c>
      <c r="AB29" s="21" t="s">
        <v>505</v>
      </c>
      <c r="AC29" s="125" t="s">
        <v>30</v>
      </c>
      <c r="AD29" s="21"/>
      <c r="AE29" s="88" t="s">
        <v>30</v>
      </c>
      <c r="AF29" s="21"/>
      <c r="AG29" s="21"/>
      <c r="AH29" s="125" t="s">
        <v>30</v>
      </c>
      <c r="AI29" s="21"/>
      <c r="AJ29" s="125" t="s">
        <v>30</v>
      </c>
      <c r="AK29" s="21" t="s">
        <v>30</v>
      </c>
      <c r="AL29" s="21"/>
      <c r="AM29" s="88" t="s">
        <v>30</v>
      </c>
      <c r="AN29" s="38">
        <f t="shared" si="2"/>
        <v>11</v>
      </c>
      <c r="AO29" s="37" t="str">
        <f t="shared" si="3"/>
        <v>Andrew Mark Fuller</v>
      </c>
    </row>
    <row r="30" spans="1:41">
      <c r="A30" s="3" t="s">
        <v>84</v>
      </c>
      <c r="B30" s="3" t="s">
        <v>196</v>
      </c>
      <c r="C30" s="3" t="s">
        <v>171</v>
      </c>
      <c r="D30" s="4" t="s">
        <v>85</v>
      </c>
      <c r="E30" s="43">
        <f t="shared" si="1"/>
        <v>12</v>
      </c>
      <c r="F30" s="129"/>
      <c r="G30" s="21"/>
      <c r="H30" s="129" t="s">
        <v>510</v>
      </c>
      <c r="I30" s="21"/>
      <c r="J30" s="21"/>
      <c r="K30" s="21" t="s">
        <v>30</v>
      </c>
      <c r="L30" s="21"/>
      <c r="M30" s="101" t="s">
        <v>30</v>
      </c>
      <c r="N30" s="21"/>
      <c r="O30" s="21"/>
      <c r="P30" s="21"/>
      <c r="Q30" s="125" t="s">
        <v>30</v>
      </c>
      <c r="R30" s="22"/>
      <c r="S30" s="101" t="s">
        <v>30</v>
      </c>
      <c r="T30" s="101" t="s">
        <v>510</v>
      </c>
      <c r="U30" s="21"/>
      <c r="V30" s="21"/>
      <c r="W30" s="21"/>
      <c r="X30" s="21"/>
      <c r="Y30" s="21"/>
      <c r="Z30" s="21"/>
      <c r="AA30" s="21" t="s">
        <v>30</v>
      </c>
      <c r="AB30" s="21" t="s">
        <v>30</v>
      </c>
      <c r="AC30" s="125" t="s">
        <v>30</v>
      </c>
      <c r="AD30" s="21"/>
      <c r="AE30" s="88" t="s">
        <v>30</v>
      </c>
      <c r="AF30" s="21" t="s">
        <v>30</v>
      </c>
      <c r="AG30" s="21"/>
      <c r="AH30" s="125" t="s">
        <v>30</v>
      </c>
      <c r="AI30" s="21"/>
      <c r="AJ30" s="125"/>
      <c r="AK30" s="21" t="s">
        <v>30</v>
      </c>
      <c r="AL30" s="21"/>
      <c r="AM30" s="88" t="s">
        <v>30</v>
      </c>
      <c r="AN30" s="38">
        <f t="shared" si="2"/>
        <v>12</v>
      </c>
      <c r="AO30" s="37" t="str">
        <f t="shared" si="3"/>
        <v>Rodrigo Javier Duarte</v>
      </c>
    </row>
    <row r="31" spans="1:41">
      <c r="A31" s="3" t="s">
        <v>86</v>
      </c>
      <c r="B31" s="3" t="s">
        <v>328</v>
      </c>
      <c r="C31" s="3" t="s">
        <v>88</v>
      </c>
      <c r="D31" s="4" t="s">
        <v>89</v>
      </c>
      <c r="E31" s="43">
        <f t="shared" si="1"/>
        <v>20</v>
      </c>
      <c r="F31" s="129" t="s">
        <v>30</v>
      </c>
      <c r="G31" s="21"/>
      <c r="H31" s="129"/>
      <c r="I31" s="97"/>
      <c r="J31" s="21" t="s">
        <v>30</v>
      </c>
      <c r="K31" s="97"/>
      <c r="L31" s="97" t="s">
        <v>30</v>
      </c>
      <c r="M31" s="97"/>
      <c r="N31" s="97" t="s">
        <v>30</v>
      </c>
      <c r="O31" s="21"/>
      <c r="P31" s="97" t="s">
        <v>30</v>
      </c>
      <c r="Q31" s="125" t="s">
        <v>30</v>
      </c>
      <c r="R31" s="21"/>
      <c r="S31" s="193" t="s">
        <v>510</v>
      </c>
      <c r="T31" s="97" t="s">
        <v>30</v>
      </c>
      <c r="U31" s="21"/>
      <c r="V31" s="97"/>
      <c r="W31" s="97" t="s">
        <v>30</v>
      </c>
      <c r="X31" s="97"/>
      <c r="Y31" s="21"/>
      <c r="Z31" s="97" t="s">
        <v>30</v>
      </c>
      <c r="AA31" s="21" t="s">
        <v>30</v>
      </c>
      <c r="AB31" s="97"/>
      <c r="AC31" s="125" t="s">
        <v>30</v>
      </c>
      <c r="AD31" s="97" t="s">
        <v>30</v>
      </c>
      <c r="AE31" s="88" t="s">
        <v>30</v>
      </c>
      <c r="AF31" s="21" t="s">
        <v>30</v>
      </c>
      <c r="AG31" s="97"/>
      <c r="AH31" s="125" t="s">
        <v>30</v>
      </c>
      <c r="AI31" s="97" t="s">
        <v>30</v>
      </c>
      <c r="AJ31" s="192" t="s">
        <v>30</v>
      </c>
      <c r="AK31" s="21" t="s">
        <v>30</v>
      </c>
      <c r="AL31" s="21" t="s">
        <v>30</v>
      </c>
      <c r="AM31" s="88" t="s">
        <v>30</v>
      </c>
      <c r="AN31" s="38">
        <f t="shared" si="2"/>
        <v>20</v>
      </c>
      <c r="AO31" s="37" t="str">
        <f t="shared" si="3"/>
        <v>Glyn David Evans</v>
      </c>
    </row>
    <row r="32" spans="1:41">
      <c r="A32" s="3" t="s">
        <v>90</v>
      </c>
      <c r="B32" s="3" t="s">
        <v>197</v>
      </c>
      <c r="C32" s="3" t="s">
        <v>172</v>
      </c>
      <c r="D32" s="4" t="s">
        <v>91</v>
      </c>
      <c r="E32" s="43">
        <f t="shared" si="1"/>
        <v>14</v>
      </c>
      <c r="F32" s="129"/>
      <c r="G32" s="21"/>
      <c r="I32" s="21"/>
      <c r="J32" s="21"/>
      <c r="K32" s="21" t="s">
        <v>30</v>
      </c>
      <c r="L32" s="21"/>
      <c r="M32" s="101" t="s">
        <v>30</v>
      </c>
      <c r="N32" s="21"/>
      <c r="O32" s="125" t="s">
        <v>30</v>
      </c>
      <c r="P32" s="21"/>
      <c r="Q32" s="192" t="s">
        <v>510</v>
      </c>
      <c r="R32" s="22"/>
      <c r="S32" s="97" t="s">
        <v>30</v>
      </c>
      <c r="T32" s="21"/>
      <c r="U32" s="21"/>
      <c r="V32" s="21" t="s">
        <v>30</v>
      </c>
      <c r="W32" s="21"/>
      <c r="X32" s="21"/>
      <c r="Y32" s="193" t="s">
        <v>510</v>
      </c>
      <c r="Z32" s="21"/>
      <c r="AA32" s="21" t="s">
        <v>30</v>
      </c>
      <c r="AB32" s="21"/>
      <c r="AC32" s="125" t="s">
        <v>30</v>
      </c>
      <c r="AD32" s="21"/>
      <c r="AE32" s="88" t="s">
        <v>30</v>
      </c>
      <c r="AF32" s="21" t="s">
        <v>30</v>
      </c>
      <c r="AG32" s="21" t="s">
        <v>30</v>
      </c>
      <c r="AH32" s="125" t="s">
        <v>30</v>
      </c>
      <c r="AI32" s="97" t="s">
        <v>30</v>
      </c>
      <c r="AJ32" s="125"/>
      <c r="AK32" s="21" t="s">
        <v>30</v>
      </c>
      <c r="AL32" s="21"/>
      <c r="AM32" s="88" t="s">
        <v>30</v>
      </c>
      <c r="AN32" s="38">
        <f t="shared" si="2"/>
        <v>14</v>
      </c>
      <c r="AO32" s="37" t="str">
        <f t="shared" si="3"/>
        <v>Philip Andrew Offord</v>
      </c>
    </row>
    <row r="33" spans="1:51">
      <c r="A33" s="3" t="s">
        <v>92</v>
      </c>
      <c r="B33" s="3" t="s">
        <v>198</v>
      </c>
      <c r="C33" s="3" t="s">
        <v>173</v>
      </c>
      <c r="D33" s="4" t="s">
        <v>93</v>
      </c>
      <c r="E33" s="43">
        <f t="shared" si="1"/>
        <v>12</v>
      </c>
      <c r="F33" s="129"/>
      <c r="G33" s="21"/>
      <c r="H33" s="129" t="s">
        <v>30</v>
      </c>
      <c r="I33" s="21"/>
      <c r="J33" s="21"/>
      <c r="K33" s="21"/>
      <c r="L33" s="21"/>
      <c r="M33" s="129" t="s">
        <v>30</v>
      </c>
      <c r="N33" s="104"/>
      <c r="O33" s="125" t="s">
        <v>30</v>
      </c>
      <c r="P33" s="21"/>
      <c r="Q33" s="125" t="s">
        <v>510</v>
      </c>
      <c r="R33" s="22"/>
      <c r="S33" s="21"/>
      <c r="T33" s="97"/>
      <c r="U33" s="101" t="s">
        <v>30</v>
      </c>
      <c r="V33" s="21"/>
      <c r="W33" s="21"/>
      <c r="X33" s="21"/>
      <c r="Y33" s="101" t="s">
        <v>30</v>
      </c>
      <c r="Z33" s="21"/>
      <c r="AA33" s="21"/>
      <c r="AB33" s="21" t="s">
        <v>30</v>
      </c>
      <c r="AC33" s="125" t="s">
        <v>30</v>
      </c>
      <c r="AD33" s="104"/>
      <c r="AE33" s="88" t="s">
        <v>30</v>
      </c>
      <c r="AF33" s="21" t="s">
        <v>30</v>
      </c>
      <c r="AG33" s="21" t="s">
        <v>30</v>
      </c>
      <c r="AH33" s="21"/>
      <c r="AI33" s="21"/>
      <c r="AJ33" s="21"/>
      <c r="AK33" s="21" t="s">
        <v>30</v>
      </c>
      <c r="AL33" s="21"/>
      <c r="AM33" s="88" t="s">
        <v>30</v>
      </c>
      <c r="AN33" s="38">
        <f t="shared" si="2"/>
        <v>12</v>
      </c>
      <c r="AO33" s="37" t="str">
        <f t="shared" si="3"/>
        <v>Alan Vernon Dean</v>
      </c>
    </row>
    <row r="34" spans="1:51" ht="15.75" thickBot="1">
      <c r="A34" s="3" t="s">
        <v>94</v>
      </c>
      <c r="B34" s="3" t="s">
        <v>199</v>
      </c>
      <c r="C34" s="3" t="s">
        <v>174</v>
      </c>
      <c r="D34" s="4" t="s">
        <v>95</v>
      </c>
      <c r="E34" s="43">
        <f t="shared" si="1"/>
        <v>12</v>
      </c>
      <c r="F34" s="129"/>
      <c r="G34" s="21"/>
      <c r="H34" s="129" t="s">
        <v>510</v>
      </c>
      <c r="I34" s="21"/>
      <c r="J34" s="21"/>
      <c r="K34" s="21" t="s">
        <v>30</v>
      </c>
      <c r="L34" s="21"/>
      <c r="M34" s="129" t="s">
        <v>30</v>
      </c>
      <c r="N34" s="21"/>
      <c r="O34" s="125" t="s">
        <v>30</v>
      </c>
      <c r="P34" s="21"/>
      <c r="Q34" s="125" t="s">
        <v>30</v>
      </c>
      <c r="R34" s="22"/>
      <c r="S34" s="21"/>
      <c r="T34" s="21"/>
      <c r="U34" s="101" t="s">
        <v>30</v>
      </c>
      <c r="V34" s="21"/>
      <c r="W34" s="21"/>
      <c r="X34" s="21"/>
      <c r="Y34" s="101" t="s">
        <v>30</v>
      </c>
      <c r="Z34" s="21"/>
      <c r="AA34" s="21" t="s">
        <v>30</v>
      </c>
      <c r="AB34" s="21"/>
      <c r="AC34" s="125" t="s">
        <v>30</v>
      </c>
      <c r="AD34" s="21"/>
      <c r="AE34" s="88" t="s">
        <v>30</v>
      </c>
      <c r="AF34" s="21"/>
      <c r="AG34" s="21" t="s">
        <v>30</v>
      </c>
      <c r="AH34" s="21"/>
      <c r="AI34" s="21"/>
      <c r="AJ34" s="21"/>
      <c r="AK34" s="21" t="s">
        <v>30</v>
      </c>
      <c r="AL34" s="21"/>
      <c r="AM34" s="88" t="s">
        <v>30</v>
      </c>
      <c r="AN34" s="38">
        <f t="shared" si="2"/>
        <v>12</v>
      </c>
      <c r="AO34" s="37" t="str">
        <f t="shared" si="3"/>
        <v>Nigel Howard Stewart</v>
      </c>
      <c r="AP34" s="14"/>
      <c r="AQ34" s="14"/>
      <c r="AR34" s="14"/>
      <c r="AS34" s="14"/>
      <c r="AT34" s="14"/>
      <c r="AU34" s="14"/>
      <c r="AV34" s="14"/>
      <c r="AW34" s="14"/>
      <c r="AX34" s="14"/>
      <c r="AY34" s="14"/>
    </row>
    <row r="35" spans="1:51" ht="16.5" thickTop="1" thickBot="1">
      <c r="A35" s="3" t="s">
        <v>96</v>
      </c>
      <c r="B35" s="76" t="s">
        <v>354</v>
      </c>
      <c r="C35" s="3" t="s">
        <v>116</v>
      </c>
      <c r="D35" s="4" t="s">
        <v>98</v>
      </c>
      <c r="E35" s="43">
        <f t="shared" si="1"/>
        <v>18</v>
      </c>
      <c r="F35" s="129"/>
      <c r="G35" s="135" t="s">
        <v>30</v>
      </c>
      <c r="H35" s="25"/>
      <c r="I35" s="175" t="s">
        <v>30</v>
      </c>
      <c r="J35" s="135" t="s">
        <v>30</v>
      </c>
      <c r="K35" s="21"/>
      <c r="L35" s="21"/>
      <c r="M35" s="21" t="s">
        <v>30</v>
      </c>
      <c r="N35" s="21"/>
      <c r="O35" s="21" t="s">
        <v>30</v>
      </c>
      <c r="P35" s="21"/>
      <c r="Q35" s="125" t="s">
        <v>30</v>
      </c>
      <c r="R35" s="136" t="s">
        <v>30</v>
      </c>
      <c r="S35" s="21"/>
      <c r="T35" s="21"/>
      <c r="U35" s="21"/>
      <c r="V35" s="21"/>
      <c r="W35" s="21"/>
      <c r="X35" s="135" t="s">
        <v>30</v>
      </c>
      <c r="Y35" s="101" t="s">
        <v>30</v>
      </c>
      <c r="Z35" s="105"/>
      <c r="AA35" s="21" t="s">
        <v>30</v>
      </c>
      <c r="AB35" s="21" t="s">
        <v>30</v>
      </c>
      <c r="AC35" s="125" t="s">
        <v>30</v>
      </c>
      <c r="AD35" s="21"/>
      <c r="AE35" s="88" t="s">
        <v>30</v>
      </c>
      <c r="AF35" s="137" t="s">
        <v>30</v>
      </c>
      <c r="AG35" s="21"/>
      <c r="AH35" s="21" t="s">
        <v>30</v>
      </c>
      <c r="AI35" s="21"/>
      <c r="AJ35" s="21"/>
      <c r="AK35" s="21" t="s">
        <v>30</v>
      </c>
      <c r="AL35" s="21" t="s">
        <v>30</v>
      </c>
      <c r="AM35" s="88" t="s">
        <v>30</v>
      </c>
      <c r="AN35" s="38">
        <f t="shared" si="2"/>
        <v>18</v>
      </c>
      <c r="AO35" s="37" t="str">
        <f t="shared" si="3"/>
        <v>Thomas Jeremy Ward</v>
      </c>
    </row>
    <row r="36" spans="1:51" ht="16.5" thickTop="1" thickBot="1">
      <c r="A36" s="3" t="s">
        <v>96</v>
      </c>
      <c r="B36" s="3" t="s">
        <v>200</v>
      </c>
      <c r="C36" s="3" t="s">
        <v>175</v>
      </c>
      <c r="D36" s="4" t="s">
        <v>98</v>
      </c>
      <c r="E36" s="43">
        <f t="shared" si="1"/>
        <v>14</v>
      </c>
      <c r="F36" s="129"/>
      <c r="G36" s="21"/>
      <c r="H36" s="135" t="s">
        <v>30</v>
      </c>
      <c r="I36" s="21"/>
      <c r="J36" s="21"/>
      <c r="K36" s="135" t="s">
        <v>30</v>
      </c>
      <c r="L36" s="21"/>
      <c r="M36" s="135" t="s">
        <v>30</v>
      </c>
      <c r="N36" s="21"/>
      <c r="O36" s="21"/>
      <c r="P36" s="105"/>
      <c r="Q36" s="125" t="s">
        <v>30</v>
      </c>
      <c r="R36" s="22"/>
      <c r="S36" s="135" t="s">
        <v>30</v>
      </c>
      <c r="T36" s="172"/>
      <c r="V36" s="21"/>
      <c r="W36" s="105"/>
      <c r="X36" s="21"/>
      <c r="Y36" s="21"/>
      <c r="Z36" s="23"/>
      <c r="AA36" s="135" t="s">
        <v>30</v>
      </c>
      <c r="AC36" s="125" t="s">
        <v>30</v>
      </c>
      <c r="AD36" s="21" t="s">
        <v>30</v>
      </c>
      <c r="AE36" s="88" t="s">
        <v>30</v>
      </c>
      <c r="AF36" s="21" t="s">
        <v>30</v>
      </c>
      <c r="AG36" s="135" t="s">
        <v>30</v>
      </c>
      <c r="AH36" s="105"/>
      <c r="AI36" s="135" t="s">
        <v>30</v>
      </c>
      <c r="AJ36" s="21"/>
      <c r="AK36" s="21" t="s">
        <v>30</v>
      </c>
      <c r="AL36" s="21"/>
      <c r="AM36" s="88" t="s">
        <v>30</v>
      </c>
      <c r="AN36" s="38">
        <f t="shared" si="2"/>
        <v>14</v>
      </c>
      <c r="AO36" s="37" t="str">
        <f t="shared" si="3"/>
        <v>Gifton Roy Bailey</v>
      </c>
    </row>
    <row r="37" spans="1:51" ht="16.5" thickTop="1" thickBot="1">
      <c r="A37" s="3" t="s">
        <v>96</v>
      </c>
      <c r="B37" s="3" t="s">
        <v>201</v>
      </c>
      <c r="C37" s="3" t="s">
        <v>176</v>
      </c>
      <c r="D37" s="4" t="s">
        <v>98</v>
      </c>
      <c r="E37" s="43">
        <f t="shared" si="1"/>
        <v>13</v>
      </c>
      <c r="F37" s="134" t="s">
        <v>30</v>
      </c>
      <c r="G37" s="105"/>
      <c r="H37" s="21"/>
      <c r="I37" s="173"/>
      <c r="J37" s="21"/>
      <c r="K37" s="97"/>
      <c r="L37" s="105"/>
      <c r="M37" s="21"/>
      <c r="N37" s="135" t="s">
        <v>30</v>
      </c>
      <c r="O37" s="105"/>
      <c r="P37" s="135" t="s">
        <v>30</v>
      </c>
      <c r="Q37" s="125" t="s">
        <v>30</v>
      </c>
      <c r="R37" s="106"/>
      <c r="S37" s="181"/>
      <c r="T37" s="175" t="s">
        <v>30</v>
      </c>
      <c r="U37" s="129"/>
      <c r="V37" s="97"/>
      <c r="W37" s="135" t="s">
        <v>30</v>
      </c>
      <c r="X37" s="97"/>
      <c r="Y37" s="181"/>
      <c r="Z37" s="175" t="s">
        <v>30</v>
      </c>
      <c r="AA37" s="129"/>
      <c r="AB37" s="137" t="s">
        <v>30</v>
      </c>
      <c r="AC37" s="125" t="s">
        <v>30</v>
      </c>
      <c r="AD37" s="135" t="s">
        <v>30</v>
      </c>
      <c r="AE37" s="88" t="s">
        <v>30</v>
      </c>
      <c r="AF37" s="21"/>
      <c r="AH37" s="97"/>
      <c r="AI37" s="105"/>
      <c r="AJ37" s="97"/>
      <c r="AK37" s="135" t="s">
        <v>30</v>
      </c>
      <c r="AL37" s="97"/>
      <c r="AM37" s="88" t="s">
        <v>30</v>
      </c>
      <c r="AN37" s="38">
        <f t="shared" si="2"/>
        <v>13</v>
      </c>
      <c r="AO37" s="37" t="str">
        <f t="shared" si="3"/>
        <v>Andrew Charles Hodges</v>
      </c>
    </row>
    <row r="38" spans="1:51" ht="15.75" thickTop="1">
      <c r="A38" s="5" t="s">
        <v>96</v>
      </c>
      <c r="B38" s="5" t="s">
        <v>202</v>
      </c>
      <c r="C38" s="5" t="s">
        <v>177</v>
      </c>
      <c r="D38" s="6" t="s">
        <v>98</v>
      </c>
      <c r="E38" s="43">
        <f t="shared" si="1"/>
        <v>11</v>
      </c>
      <c r="F38" s="129"/>
      <c r="G38" s="21"/>
      <c r="H38" s="171"/>
      <c r="I38" s="173" t="s">
        <v>510</v>
      </c>
      <c r="J38" s="21"/>
      <c r="K38" s="105"/>
      <c r="M38" s="21"/>
      <c r="N38" s="21" t="s">
        <v>30</v>
      </c>
      <c r="O38" s="21"/>
      <c r="P38" s="21" t="s">
        <v>30</v>
      </c>
      <c r="Q38" s="135" t="s">
        <v>30</v>
      </c>
      <c r="R38" s="105"/>
      <c r="S38" s="21"/>
      <c r="T38" s="174"/>
      <c r="U38" s="21"/>
      <c r="W38" s="21"/>
      <c r="X38" s="21"/>
      <c r="Y38" s="135" t="s">
        <v>30</v>
      </c>
      <c r="Z38" s="94"/>
      <c r="AA38" s="21"/>
      <c r="AB38" s="21"/>
      <c r="AC38" s="125" t="s">
        <v>30</v>
      </c>
      <c r="AD38" s="105"/>
      <c r="AE38" s="88" t="s">
        <v>30</v>
      </c>
      <c r="AF38" s="21"/>
      <c r="AG38" s="21"/>
      <c r="AH38" s="135" t="s">
        <v>30</v>
      </c>
      <c r="AI38" s="21"/>
      <c r="AJ38" s="137" t="s">
        <v>30</v>
      </c>
      <c r="AK38" s="129" t="s">
        <v>30</v>
      </c>
      <c r="AL38" s="135" t="s">
        <v>30</v>
      </c>
      <c r="AM38" s="88" t="s">
        <v>30</v>
      </c>
      <c r="AN38" s="38">
        <f t="shared" si="2"/>
        <v>11</v>
      </c>
      <c r="AO38" s="37" t="str">
        <f t="shared" si="3"/>
        <v>Carl Jonathan Charles Sams</v>
      </c>
    </row>
    <row r="39" spans="1:51">
      <c r="A39" s="5" t="s">
        <v>96</v>
      </c>
      <c r="B39" s="5" t="s">
        <v>61</v>
      </c>
      <c r="C39" s="5" t="s">
        <v>178</v>
      </c>
      <c r="D39" s="6" t="s">
        <v>98</v>
      </c>
      <c r="E39" s="43">
        <f t="shared" si="1"/>
        <v>10</v>
      </c>
      <c r="F39" s="129"/>
      <c r="G39" s="21"/>
      <c r="H39" s="105"/>
      <c r="I39" s="174"/>
      <c r="J39" s="21"/>
      <c r="K39" s="21"/>
      <c r="L39" s="135" t="s">
        <v>30</v>
      </c>
      <c r="N39" s="21"/>
      <c r="O39" s="135" t="s">
        <v>30</v>
      </c>
      <c r="P39" s="21"/>
      <c r="Q39" s="125" t="s">
        <v>30</v>
      </c>
      <c r="R39" s="22"/>
      <c r="S39" s="21"/>
      <c r="T39" s="21"/>
      <c r="U39" s="135" t="s">
        <v>30</v>
      </c>
      <c r="V39" s="135" t="s">
        <v>30</v>
      </c>
      <c r="W39" s="21" t="s">
        <v>510</v>
      </c>
      <c r="X39" s="105" t="s">
        <v>510</v>
      </c>
      <c r="Y39" s="21"/>
      <c r="Z39" s="105" t="s">
        <v>30</v>
      </c>
      <c r="AB39" s="21"/>
      <c r="AC39" s="135" t="s">
        <v>30</v>
      </c>
      <c r="AD39" s="21"/>
      <c r="AE39" s="88" t="s">
        <v>30</v>
      </c>
      <c r="AF39" s="21"/>
      <c r="AG39" s="105"/>
      <c r="AI39" s="21"/>
      <c r="AK39" s="21" t="s">
        <v>30</v>
      </c>
      <c r="AM39" s="88" t="s">
        <v>30</v>
      </c>
      <c r="AN39" s="38">
        <f t="shared" si="2"/>
        <v>10</v>
      </c>
      <c r="AO39" s="37" t="str">
        <f t="shared" si="3"/>
        <v>John Buck</v>
      </c>
    </row>
    <row r="40" spans="1:51">
      <c r="A40" s="5" t="s">
        <v>100</v>
      </c>
      <c r="B40" s="5" t="s">
        <v>386</v>
      </c>
      <c r="C40" s="5" t="s">
        <v>101</v>
      </c>
      <c r="D40" s="6" t="s">
        <v>102</v>
      </c>
      <c r="E40" s="43">
        <f t="shared" si="1"/>
        <v>11</v>
      </c>
      <c r="F40" s="129"/>
      <c r="G40" s="21"/>
      <c r="H40" s="21"/>
      <c r="I40" s="21"/>
      <c r="J40" s="21" t="s">
        <v>30</v>
      </c>
      <c r="K40" s="21" t="s">
        <v>510</v>
      </c>
      <c r="L40" s="21"/>
      <c r="M40" s="101" t="s">
        <v>30</v>
      </c>
      <c r="N40" s="21"/>
      <c r="O40" s="21"/>
      <c r="P40" s="21"/>
      <c r="Q40" s="125" t="s">
        <v>30</v>
      </c>
      <c r="R40" s="22"/>
      <c r="S40" s="21"/>
      <c r="T40" s="21"/>
      <c r="U40" s="21" t="s">
        <v>30</v>
      </c>
      <c r="V40" s="21"/>
      <c r="W40" s="21"/>
      <c r="X40" s="21"/>
      <c r="Y40" s="21"/>
      <c r="Z40" s="21"/>
      <c r="AA40" s="21" t="s">
        <v>30</v>
      </c>
      <c r="AB40" s="21"/>
      <c r="AC40" s="125" t="s">
        <v>30</v>
      </c>
      <c r="AD40" s="21"/>
      <c r="AE40" s="88" t="s">
        <v>30</v>
      </c>
      <c r="AF40" s="21"/>
      <c r="AG40" s="21" t="s">
        <v>30</v>
      </c>
      <c r="AH40" s="21" t="s">
        <v>30</v>
      </c>
      <c r="AI40" s="21"/>
      <c r="AJ40" s="21"/>
      <c r="AK40" s="21" t="s">
        <v>30</v>
      </c>
      <c r="AL40" s="21"/>
      <c r="AM40" s="88" t="s">
        <v>30</v>
      </c>
      <c r="AN40" s="38">
        <f t="shared" si="2"/>
        <v>11</v>
      </c>
      <c r="AO40" s="37" t="str">
        <f t="shared" si="3"/>
        <v>Andrew Rhys Morris</v>
      </c>
    </row>
    <row r="41" spans="1:51">
      <c r="A41" s="5" t="s">
        <v>103</v>
      </c>
      <c r="B41" s="5" t="s">
        <v>97</v>
      </c>
      <c r="C41" s="5" t="s">
        <v>179</v>
      </c>
      <c r="D41" s="6" t="s">
        <v>104</v>
      </c>
      <c r="E41" s="43">
        <f t="shared" si="1"/>
        <v>16</v>
      </c>
      <c r="F41" s="129"/>
      <c r="H41" s="21"/>
      <c r="I41" s="21"/>
      <c r="J41" s="99"/>
      <c r="K41" s="21"/>
      <c r="L41" s="146" t="s">
        <v>30</v>
      </c>
      <c r="M41" s="138" t="s">
        <v>30</v>
      </c>
      <c r="N41" s="99"/>
      <c r="O41" s="86" t="s">
        <v>30</v>
      </c>
      <c r="P41" s="21"/>
      <c r="Q41" s="125" t="s">
        <v>30</v>
      </c>
      <c r="R41" s="143" t="s">
        <v>30</v>
      </c>
      <c r="S41" s="98"/>
      <c r="T41" s="86" t="s">
        <v>30</v>
      </c>
      <c r="U41" s="21"/>
      <c r="V41" s="99"/>
      <c r="W41" s="138" t="s">
        <v>30</v>
      </c>
      <c r="X41" s="99"/>
      <c r="Y41" s="99"/>
      <c r="Z41" s="21"/>
      <c r="AA41" s="98"/>
      <c r="AB41" s="146" t="s">
        <v>30</v>
      </c>
      <c r="AC41" s="125" t="s">
        <v>30</v>
      </c>
      <c r="AD41" s="145" t="s">
        <v>30</v>
      </c>
      <c r="AE41" s="88" t="s">
        <v>30</v>
      </c>
      <c r="AF41" s="138" t="s">
        <v>30</v>
      </c>
      <c r="AG41" s="21"/>
      <c r="AH41" s="99"/>
      <c r="AI41" s="21"/>
      <c r="AJ41" s="139" t="s">
        <v>30</v>
      </c>
      <c r="AK41" s="21" t="s">
        <v>30</v>
      </c>
      <c r="AL41" s="139" t="s">
        <v>30</v>
      </c>
      <c r="AM41" s="88" t="s">
        <v>30</v>
      </c>
      <c r="AN41" s="38">
        <f t="shared" si="2"/>
        <v>16</v>
      </c>
      <c r="AO41" s="37" t="str">
        <f t="shared" si="3"/>
        <v>Martin Fields</v>
      </c>
    </row>
    <row r="42" spans="1:51">
      <c r="A42" s="5" t="s">
        <v>103</v>
      </c>
      <c r="B42" s="5" t="s">
        <v>203</v>
      </c>
      <c r="C42" s="5" t="s">
        <v>180</v>
      </c>
      <c r="D42" s="6" t="s">
        <v>104</v>
      </c>
      <c r="E42" s="43">
        <f t="shared" ref="E42:E62" si="4">COUNTIF(F42:AM42,"YES")</f>
        <v>15</v>
      </c>
      <c r="F42" s="129"/>
      <c r="G42" s="138" t="s">
        <v>30</v>
      </c>
      <c r="H42" s="21" t="s">
        <v>30</v>
      </c>
      <c r="J42" s="141" t="s">
        <v>30</v>
      </c>
      <c r="K42" s="102"/>
      <c r="L42" s="21"/>
      <c r="M42" s="203" t="s">
        <v>510</v>
      </c>
      <c r="N42" s="21"/>
      <c r="O42" s="99"/>
      <c r="P42" s="21"/>
      <c r="Q42" s="125" t="s">
        <v>30</v>
      </c>
      <c r="R42" s="99"/>
      <c r="S42" s="86" t="s">
        <v>30</v>
      </c>
      <c r="T42" s="21"/>
      <c r="U42" s="145" t="s">
        <v>30</v>
      </c>
      <c r="V42" s="138" t="s">
        <v>30</v>
      </c>
      <c r="W42" s="99"/>
      <c r="X42" s="21"/>
      <c r="Y42" s="138" t="s">
        <v>30</v>
      </c>
      <c r="Z42" s="144" t="s">
        <v>30</v>
      </c>
      <c r="AA42" s="21"/>
      <c r="AB42" s="21"/>
      <c r="AC42" s="125" t="s">
        <v>30</v>
      </c>
      <c r="AD42" s="21"/>
      <c r="AE42" s="88" t="s">
        <v>30</v>
      </c>
      <c r="AF42" s="102"/>
      <c r="AG42" s="99"/>
      <c r="AH42" s="98"/>
      <c r="AI42" s="146" t="s">
        <v>30</v>
      </c>
      <c r="AJ42" s="86" t="s">
        <v>30</v>
      </c>
      <c r="AK42" s="21" t="s">
        <v>30</v>
      </c>
      <c r="AL42" s="21"/>
      <c r="AM42" s="88" t="s">
        <v>30</v>
      </c>
      <c r="AN42" s="38">
        <f t="shared" ref="AN42:AN62" si="5">COUNTIF(F42:AM42,"YES")</f>
        <v>15</v>
      </c>
      <c r="AO42" s="37" t="str">
        <f t="shared" ref="AO42:AO59" si="6">B42&amp;" "&amp;C42</f>
        <v>Peter Richard Swallow</v>
      </c>
    </row>
    <row r="43" spans="1:51">
      <c r="A43" s="5" t="s">
        <v>103</v>
      </c>
      <c r="B43" s="5" t="s">
        <v>204</v>
      </c>
      <c r="C43" s="5" t="s">
        <v>181</v>
      </c>
      <c r="D43" s="6" t="s">
        <v>104</v>
      </c>
      <c r="E43" s="43">
        <f t="shared" si="4"/>
        <v>13</v>
      </c>
      <c r="F43" s="129"/>
      <c r="G43" s="21"/>
      <c r="H43" s="99"/>
      <c r="I43" s="139" t="s">
        <v>30</v>
      </c>
      <c r="J43" s="21"/>
      <c r="K43" s="201" t="s">
        <v>510</v>
      </c>
      <c r="L43" s="21"/>
      <c r="M43" s="21"/>
      <c r="N43" s="138" t="s">
        <v>30</v>
      </c>
      <c r="O43" s="138" t="s">
        <v>30</v>
      </c>
      <c r="P43" s="98"/>
      <c r="Q43" s="125" t="s">
        <v>30</v>
      </c>
      <c r="R43" s="22"/>
      <c r="S43" s="21"/>
      <c r="T43" s="99"/>
      <c r="U43" s="21"/>
      <c r="W43" s="98"/>
      <c r="X43" s="205" t="s">
        <v>30</v>
      </c>
      <c r="Y43" s="21"/>
      <c r="Z43" s="138" t="s">
        <v>30</v>
      </c>
      <c r="AA43" s="99"/>
      <c r="AB43" s="102"/>
      <c r="AC43" s="125" t="s">
        <v>30</v>
      </c>
      <c r="AD43" s="86" t="s">
        <v>30</v>
      </c>
      <c r="AE43" s="88" t="s">
        <v>30</v>
      </c>
      <c r="AF43" s="146" t="s">
        <v>30</v>
      </c>
      <c r="AG43" s="98"/>
      <c r="AH43" s="202" t="s">
        <v>510</v>
      </c>
      <c r="AI43" s="21"/>
      <c r="AJ43" s="21"/>
      <c r="AK43" s="21" t="s">
        <v>30</v>
      </c>
      <c r="AL43" s="86" t="s">
        <v>30</v>
      </c>
      <c r="AM43" s="88" t="s">
        <v>30</v>
      </c>
      <c r="AN43" s="38">
        <f t="shared" si="5"/>
        <v>13</v>
      </c>
      <c r="AO43" s="37" t="str">
        <f t="shared" si="6"/>
        <v xml:space="preserve">Anthony Thomas Hill </v>
      </c>
    </row>
    <row r="44" spans="1:51">
      <c r="A44" s="5" t="s">
        <v>105</v>
      </c>
      <c r="B44" s="5" t="s">
        <v>486</v>
      </c>
      <c r="C44" s="5" t="s">
        <v>106</v>
      </c>
      <c r="D44" s="6" t="s">
        <v>107</v>
      </c>
      <c r="E44" s="43">
        <f t="shared" si="4"/>
        <v>13</v>
      </c>
      <c r="F44" s="129"/>
      <c r="G44" s="21"/>
      <c r="H44" s="21" t="s">
        <v>30</v>
      </c>
      <c r="I44" s="21"/>
      <c r="J44" s="21" t="s">
        <v>30</v>
      </c>
      <c r="K44" s="21" t="s">
        <v>30</v>
      </c>
      <c r="L44" s="21"/>
      <c r="M44" s="21"/>
      <c r="N44" s="21"/>
      <c r="O44" s="21"/>
      <c r="P44" s="21" t="s">
        <v>30</v>
      </c>
      <c r="Q44" s="125" t="s">
        <v>30</v>
      </c>
      <c r="R44" s="22"/>
      <c r="S44" s="21"/>
      <c r="T44" s="21"/>
      <c r="U44" s="21" t="s">
        <v>30</v>
      </c>
      <c r="V44" s="21"/>
      <c r="W44" s="21"/>
      <c r="X44" s="21"/>
      <c r="Y44" s="21"/>
      <c r="Z44" s="21"/>
      <c r="AA44" s="21" t="s">
        <v>30</v>
      </c>
      <c r="AB44" s="21"/>
      <c r="AC44" s="125" t="s">
        <v>30</v>
      </c>
      <c r="AD44" s="21" t="s">
        <v>30</v>
      </c>
      <c r="AE44" s="88" t="s">
        <v>30</v>
      </c>
      <c r="AF44" s="21"/>
      <c r="AG44" s="21" t="s">
        <v>30</v>
      </c>
      <c r="AH44" s="21"/>
      <c r="AI44" s="21"/>
      <c r="AJ44" s="21"/>
      <c r="AK44" s="21" t="s">
        <v>30</v>
      </c>
      <c r="AL44" s="21"/>
      <c r="AM44" s="88" t="s">
        <v>30</v>
      </c>
      <c r="AN44" s="38">
        <f t="shared" si="5"/>
        <v>13</v>
      </c>
      <c r="AO44" s="37" t="str">
        <f t="shared" si="6"/>
        <v>Kevin Terence Hutchins</v>
      </c>
    </row>
    <row r="45" spans="1:51">
      <c r="A45" s="5" t="s">
        <v>108</v>
      </c>
      <c r="B45" s="5" t="s">
        <v>205</v>
      </c>
      <c r="C45" s="5" t="s">
        <v>182</v>
      </c>
      <c r="D45" s="6" t="s">
        <v>109</v>
      </c>
      <c r="E45" s="43">
        <f t="shared" si="4"/>
        <v>14</v>
      </c>
      <c r="F45" s="129" t="s">
        <v>30</v>
      </c>
      <c r="G45" s="21"/>
      <c r="H45" s="102"/>
      <c r="I45" s="21"/>
      <c r="J45" s="21" t="s">
        <v>510</v>
      </c>
      <c r="K45" s="21" t="s">
        <v>30</v>
      </c>
      <c r="L45" s="21"/>
      <c r="M45" s="102"/>
      <c r="N45" s="94" t="s">
        <v>30</v>
      </c>
      <c r="O45" s="21" t="s">
        <v>30</v>
      </c>
      <c r="P45" s="21"/>
      <c r="Q45" s="125" t="s">
        <v>30</v>
      </c>
      <c r="R45" s="22"/>
      <c r="S45" s="102"/>
      <c r="T45" s="21" t="s">
        <v>30</v>
      </c>
      <c r="U45" s="21"/>
      <c r="V45" s="21" t="s">
        <v>30</v>
      </c>
      <c r="W45" s="21"/>
      <c r="X45" s="21" t="s">
        <v>30</v>
      </c>
      <c r="Y45" s="102"/>
      <c r="Z45" s="21" t="s">
        <v>30</v>
      </c>
      <c r="AA45" s="21"/>
      <c r="AB45" s="21"/>
      <c r="AC45" s="125" t="s">
        <v>30</v>
      </c>
      <c r="AD45" s="21"/>
      <c r="AE45" s="88" t="s">
        <v>30</v>
      </c>
      <c r="AF45" s="21" t="s">
        <v>30</v>
      </c>
      <c r="AG45" s="102"/>
      <c r="AH45" s="21"/>
      <c r="AI45" s="21"/>
      <c r="AJ45" s="21"/>
      <c r="AK45" s="21" t="s">
        <v>30</v>
      </c>
      <c r="AL45" s="21"/>
      <c r="AM45" s="88" t="s">
        <v>30</v>
      </c>
      <c r="AN45" s="38">
        <f t="shared" si="5"/>
        <v>14</v>
      </c>
      <c r="AO45" s="37" t="str">
        <f t="shared" si="6"/>
        <v>Jason Michael Curnow</v>
      </c>
    </row>
    <row r="46" spans="1:51">
      <c r="A46" s="5" t="s">
        <v>108</v>
      </c>
      <c r="B46" s="5" t="s">
        <v>206</v>
      </c>
      <c r="C46" s="5" t="s">
        <v>183</v>
      </c>
      <c r="D46" s="6" t="s">
        <v>109</v>
      </c>
      <c r="E46" s="43">
        <f t="shared" si="4"/>
        <v>13</v>
      </c>
      <c r="F46" s="129"/>
      <c r="G46" s="21"/>
      <c r="H46" s="21" t="s">
        <v>30</v>
      </c>
      <c r="I46" s="102"/>
      <c r="J46" s="21"/>
      <c r="K46" s="21" t="s">
        <v>30</v>
      </c>
      <c r="L46" s="21"/>
      <c r="M46" s="21"/>
      <c r="N46" s="21"/>
      <c r="O46" s="125" t="s">
        <v>30</v>
      </c>
      <c r="P46" s="21" t="s">
        <v>30</v>
      </c>
      <c r="Q46" s="125" t="s">
        <v>30</v>
      </c>
      <c r="R46" s="22"/>
      <c r="S46" s="21"/>
      <c r="T46" s="21"/>
      <c r="U46" s="21" t="s">
        <v>30</v>
      </c>
      <c r="V46" s="21"/>
      <c r="W46" s="21"/>
      <c r="X46" s="21"/>
      <c r="Y46" s="101" t="s">
        <v>30</v>
      </c>
      <c r="Z46" s="21"/>
      <c r="AA46" s="21" t="s">
        <v>30</v>
      </c>
      <c r="AB46" s="21"/>
      <c r="AC46" s="125" t="s">
        <v>30</v>
      </c>
      <c r="AD46" s="102"/>
      <c r="AE46" s="88" t="s">
        <v>30</v>
      </c>
      <c r="AF46" s="21"/>
      <c r="AG46" s="21" t="s">
        <v>30</v>
      </c>
      <c r="AH46" s="21"/>
      <c r="AI46" s="21"/>
      <c r="AJ46" s="21"/>
      <c r="AK46" s="21" t="s">
        <v>30</v>
      </c>
      <c r="AL46" s="21"/>
      <c r="AM46" s="88" t="s">
        <v>30</v>
      </c>
      <c r="AN46" s="38">
        <f t="shared" si="5"/>
        <v>13</v>
      </c>
      <c r="AO46" s="37" t="str">
        <f t="shared" si="6"/>
        <v>Neil John White</v>
      </c>
    </row>
    <row r="47" spans="1:51">
      <c r="A47" s="5" t="s">
        <v>108</v>
      </c>
      <c r="B47" s="5" t="s">
        <v>207</v>
      </c>
      <c r="C47" s="5" t="s">
        <v>184</v>
      </c>
      <c r="D47" s="6" t="s">
        <v>109</v>
      </c>
      <c r="E47" s="43">
        <f t="shared" si="4"/>
        <v>14</v>
      </c>
      <c r="F47" s="129"/>
      <c r="G47" s="21" t="s">
        <v>30</v>
      </c>
      <c r="H47" s="21" t="s">
        <v>30</v>
      </c>
      <c r="I47" s="97" t="s">
        <v>30</v>
      </c>
      <c r="J47" s="21"/>
      <c r="K47" s="21"/>
      <c r="L47" s="102" t="s">
        <v>30</v>
      </c>
      <c r="M47" s="21"/>
      <c r="N47" s="94" t="s">
        <v>30</v>
      </c>
      <c r="O47" s="21"/>
      <c r="P47" s="21"/>
      <c r="Q47" s="125" t="s">
        <v>517</v>
      </c>
      <c r="R47" s="22" t="s">
        <v>30</v>
      </c>
      <c r="S47" s="21"/>
      <c r="T47" s="21"/>
      <c r="U47" s="21"/>
      <c r="V47" s="102"/>
      <c r="W47" s="21" t="s">
        <v>510</v>
      </c>
      <c r="X47" s="102"/>
      <c r="Y47" s="102"/>
      <c r="Z47" s="21" t="s">
        <v>30</v>
      </c>
      <c r="AA47" s="97" t="s">
        <v>30</v>
      </c>
      <c r="AB47" s="199" t="s">
        <v>510</v>
      </c>
      <c r="AC47" s="125" t="s">
        <v>30</v>
      </c>
      <c r="AD47" s="21"/>
      <c r="AE47" s="88" t="s">
        <v>30</v>
      </c>
      <c r="AF47" s="21"/>
      <c r="AG47" s="97" t="s">
        <v>510</v>
      </c>
      <c r="AH47" s="102" t="s">
        <v>30</v>
      </c>
      <c r="AI47" s="21"/>
      <c r="AJ47" s="102"/>
      <c r="AK47" s="21" t="s">
        <v>30</v>
      </c>
      <c r="AL47" s="102" t="s">
        <v>30</v>
      </c>
      <c r="AM47" s="88" t="s">
        <v>30</v>
      </c>
      <c r="AN47" s="38">
        <f t="shared" si="5"/>
        <v>14</v>
      </c>
      <c r="AO47" s="37" t="str">
        <f t="shared" si="6"/>
        <v>James Martin Connolly</v>
      </c>
    </row>
    <row r="48" spans="1:51">
      <c r="A48" s="5" t="s">
        <v>108</v>
      </c>
      <c r="B48" s="5" t="s">
        <v>208</v>
      </c>
      <c r="C48" s="5" t="s">
        <v>31</v>
      </c>
      <c r="D48" s="6" t="s">
        <v>109</v>
      </c>
      <c r="E48" s="43">
        <f t="shared" si="4"/>
        <v>15</v>
      </c>
      <c r="F48" s="129" t="s">
        <v>30</v>
      </c>
      <c r="G48" s="21"/>
      <c r="H48" s="21" t="s">
        <v>30</v>
      </c>
      <c r="I48" s="97" t="s">
        <v>510</v>
      </c>
      <c r="J48" s="102"/>
      <c r="K48" s="21"/>
      <c r="L48" s="21"/>
      <c r="M48" s="21" t="s">
        <v>30</v>
      </c>
      <c r="N48" s="21"/>
      <c r="O48" s="125" t="s">
        <v>30</v>
      </c>
      <c r="P48" s="21"/>
      <c r="Q48" s="125" t="s">
        <v>30</v>
      </c>
      <c r="R48" s="22" t="s">
        <v>30</v>
      </c>
      <c r="S48" s="21"/>
      <c r="T48" s="21"/>
      <c r="U48" s="21" t="s">
        <v>30</v>
      </c>
      <c r="V48" s="21"/>
      <c r="W48" s="21"/>
      <c r="X48" s="21" t="s">
        <v>30</v>
      </c>
      <c r="Y48" s="21"/>
      <c r="Z48" s="21"/>
      <c r="AA48" s="21"/>
      <c r="AB48" s="97" t="s">
        <v>30</v>
      </c>
      <c r="AC48" s="125" t="s">
        <v>30</v>
      </c>
      <c r="AD48" s="21"/>
      <c r="AE48" s="88" t="s">
        <v>30</v>
      </c>
      <c r="AF48" s="21"/>
      <c r="AG48" s="21"/>
      <c r="AH48" s="102" t="s">
        <v>30</v>
      </c>
      <c r="AI48" s="102" t="s">
        <v>30</v>
      </c>
      <c r="AJ48" s="21"/>
      <c r="AK48" s="21" t="s">
        <v>30</v>
      </c>
      <c r="AL48" s="21"/>
      <c r="AM48" s="88" t="s">
        <v>30</v>
      </c>
      <c r="AN48" s="38">
        <f t="shared" si="5"/>
        <v>15</v>
      </c>
      <c r="AO48" s="37" t="str">
        <f t="shared" si="6"/>
        <v>Richard Michael James</v>
      </c>
    </row>
    <row r="49" spans="1:52">
      <c r="A49" s="5" t="s">
        <v>108</v>
      </c>
      <c r="B49" s="5" t="s">
        <v>209</v>
      </c>
      <c r="C49" s="5" t="s">
        <v>185</v>
      </c>
      <c r="D49" s="6" t="s">
        <v>109</v>
      </c>
      <c r="E49" s="43">
        <f t="shared" si="4"/>
        <v>11</v>
      </c>
      <c r="F49" s="129" t="s">
        <v>30</v>
      </c>
      <c r="G49" s="21"/>
      <c r="H49" s="102"/>
      <c r="I49" s="21"/>
      <c r="J49" s="21" t="s">
        <v>510</v>
      </c>
      <c r="K49" s="21"/>
      <c r="L49" s="21"/>
      <c r="M49" s="102"/>
      <c r="N49" s="21"/>
      <c r="O49" s="21" t="s">
        <v>30</v>
      </c>
      <c r="P49" s="21"/>
      <c r="Q49" s="125" t="s">
        <v>30</v>
      </c>
      <c r="R49" s="22" t="s">
        <v>30</v>
      </c>
      <c r="S49" s="102"/>
      <c r="T49" s="21" t="s">
        <v>30</v>
      </c>
      <c r="U49" s="21"/>
      <c r="V49" s="21" t="s">
        <v>510</v>
      </c>
      <c r="W49" s="21"/>
      <c r="X49" s="21"/>
      <c r="Y49" s="102"/>
      <c r="Z49" s="21" t="s">
        <v>30</v>
      </c>
      <c r="AA49" s="21"/>
      <c r="AB49" s="21"/>
      <c r="AC49" s="125" t="s">
        <v>30</v>
      </c>
      <c r="AD49" s="21"/>
      <c r="AE49" s="88" t="s">
        <v>30</v>
      </c>
      <c r="AF49" s="21" t="s">
        <v>30</v>
      </c>
      <c r="AG49" s="102"/>
      <c r="AH49" s="21"/>
      <c r="AI49" s="21"/>
      <c r="AJ49" s="21"/>
      <c r="AK49" s="21" t="s">
        <v>30</v>
      </c>
      <c r="AL49" s="21"/>
      <c r="AM49" s="88" t="s">
        <v>30</v>
      </c>
      <c r="AN49" s="38">
        <f t="shared" si="5"/>
        <v>11</v>
      </c>
      <c r="AO49" s="37" t="str">
        <f t="shared" si="6"/>
        <v>Stephen Mark Abraham</v>
      </c>
    </row>
    <row r="50" spans="1:52">
      <c r="A50" s="5" t="s">
        <v>108</v>
      </c>
      <c r="B50" s="5" t="s">
        <v>210</v>
      </c>
      <c r="C50" s="5" t="s">
        <v>186</v>
      </c>
      <c r="D50" s="6" t="s">
        <v>109</v>
      </c>
      <c r="E50" s="43">
        <f t="shared" si="4"/>
        <v>13</v>
      </c>
      <c r="F50" s="129"/>
      <c r="G50" s="21"/>
      <c r="H50" s="21" t="s">
        <v>30</v>
      </c>
      <c r="I50" s="102"/>
      <c r="J50" s="21" t="s">
        <v>30</v>
      </c>
      <c r="K50" s="21" t="s">
        <v>510</v>
      </c>
      <c r="L50" s="21"/>
      <c r="M50" s="21"/>
      <c r="N50" s="94" t="s">
        <v>30</v>
      </c>
      <c r="O50" s="21"/>
      <c r="P50" s="21" t="s">
        <v>30</v>
      </c>
      <c r="Q50" s="125" t="s">
        <v>30</v>
      </c>
      <c r="R50" s="22"/>
      <c r="S50" s="21"/>
      <c r="T50" s="21"/>
      <c r="U50" s="21" t="s">
        <v>30</v>
      </c>
      <c r="V50" s="21"/>
      <c r="W50" s="21"/>
      <c r="X50" s="21" t="s">
        <v>30</v>
      </c>
      <c r="Y50" s="102"/>
      <c r="Z50" s="21"/>
      <c r="AA50" s="21" t="s">
        <v>30</v>
      </c>
      <c r="AB50" s="21"/>
      <c r="AC50" s="125" t="s">
        <v>30</v>
      </c>
      <c r="AD50" s="102"/>
      <c r="AE50" s="88" t="s">
        <v>30</v>
      </c>
      <c r="AF50" s="21"/>
      <c r="AG50" s="21" t="s">
        <v>30</v>
      </c>
      <c r="AH50" s="21"/>
      <c r="AI50" s="21"/>
      <c r="AJ50" s="21"/>
      <c r="AK50" s="21" t="s">
        <v>30</v>
      </c>
      <c r="AL50" s="21"/>
      <c r="AM50" s="88" t="s">
        <v>30</v>
      </c>
      <c r="AN50" s="38">
        <f t="shared" si="5"/>
        <v>13</v>
      </c>
      <c r="AO50" s="37" t="str">
        <f t="shared" si="6"/>
        <v>George David Wilkinson</v>
      </c>
    </row>
    <row r="51" spans="1:52" ht="15.75" thickBot="1">
      <c r="A51" s="5" t="s">
        <v>108</v>
      </c>
      <c r="B51" s="5" t="s">
        <v>211</v>
      </c>
      <c r="C51" t="s">
        <v>187</v>
      </c>
      <c r="D51" s="6" t="s">
        <v>109</v>
      </c>
      <c r="E51" s="43">
        <f t="shared" si="4"/>
        <v>15</v>
      </c>
      <c r="F51" s="187"/>
      <c r="G51" s="21"/>
      <c r="H51" s="21" t="s">
        <v>30</v>
      </c>
      <c r="I51" s="21"/>
      <c r="J51" s="21"/>
      <c r="K51" s="172" t="s">
        <v>30</v>
      </c>
      <c r="L51" s="102" t="s">
        <v>30</v>
      </c>
      <c r="M51" s="21"/>
      <c r="N51" s="21"/>
      <c r="O51" s="21"/>
      <c r="P51" s="21"/>
      <c r="Q51" s="125" t="s">
        <v>30</v>
      </c>
      <c r="R51" s="22" t="s">
        <v>522</v>
      </c>
      <c r="S51" s="21"/>
      <c r="T51" s="21"/>
      <c r="U51" s="21"/>
      <c r="V51" s="102"/>
      <c r="W51" s="21" t="s">
        <v>30</v>
      </c>
      <c r="X51" s="102"/>
      <c r="Y51" s="102"/>
      <c r="Z51" s="21" t="s">
        <v>30</v>
      </c>
      <c r="AA51" s="21"/>
      <c r="AB51" s="102" t="s">
        <v>30</v>
      </c>
      <c r="AC51" s="125" t="s">
        <v>30</v>
      </c>
      <c r="AD51" s="21"/>
      <c r="AE51" s="88" t="s">
        <v>30</v>
      </c>
      <c r="AF51" s="21"/>
      <c r="AG51" s="21" t="s">
        <v>30</v>
      </c>
      <c r="AH51" s="102" t="s">
        <v>30</v>
      </c>
      <c r="AI51" s="21"/>
      <c r="AJ51" s="125" t="s">
        <v>30</v>
      </c>
      <c r="AK51" s="21" t="s">
        <v>30</v>
      </c>
      <c r="AL51" s="102" t="s">
        <v>30</v>
      </c>
      <c r="AM51" s="88" t="s">
        <v>30</v>
      </c>
      <c r="AN51" s="38">
        <f t="shared" si="5"/>
        <v>15</v>
      </c>
      <c r="AO51" s="37" t="str">
        <f t="shared" si="6"/>
        <v>Stephen Paul Madden</v>
      </c>
    </row>
    <row r="52" spans="1:52" ht="16.5" thickTop="1" thickBot="1">
      <c r="A52" s="5" t="s">
        <v>108</v>
      </c>
      <c r="B52" s="5" t="s">
        <v>212</v>
      </c>
      <c r="C52" s="5" t="s">
        <v>188</v>
      </c>
      <c r="D52" s="6" t="s">
        <v>109</v>
      </c>
      <c r="E52" s="186">
        <f t="shared" si="4"/>
        <v>12</v>
      </c>
      <c r="F52" s="176" t="s">
        <v>30</v>
      </c>
      <c r="G52" s="129"/>
      <c r="H52" s="21"/>
      <c r="I52" s="21"/>
      <c r="J52" s="188"/>
      <c r="K52" s="176" t="s">
        <v>30</v>
      </c>
      <c r="L52" s="129"/>
      <c r="M52" s="21" t="s">
        <v>30</v>
      </c>
      <c r="N52" s="176" t="s">
        <v>558</v>
      </c>
      <c r="O52" s="21"/>
      <c r="P52" s="21"/>
      <c r="Q52" s="125" t="s">
        <v>30</v>
      </c>
      <c r="R52" s="22" t="s">
        <v>30</v>
      </c>
      <c r="S52" s="21"/>
      <c r="T52" s="21"/>
      <c r="U52" s="21" t="s">
        <v>30</v>
      </c>
      <c r="V52" s="21"/>
      <c r="W52" s="21"/>
      <c r="X52" s="21" t="s">
        <v>510</v>
      </c>
      <c r="Y52" s="21"/>
      <c r="Z52" s="21"/>
      <c r="AA52" s="21"/>
      <c r="AB52" s="21"/>
      <c r="AC52" s="125" t="s">
        <v>30</v>
      </c>
      <c r="AD52" s="21"/>
      <c r="AE52" s="88" t="s">
        <v>30</v>
      </c>
      <c r="AF52" s="21"/>
      <c r="AG52" s="21"/>
      <c r="AH52" s="102" t="s">
        <v>30</v>
      </c>
      <c r="AI52" s="102" t="s">
        <v>30</v>
      </c>
      <c r="AJ52" s="21"/>
      <c r="AK52" s="21" t="s">
        <v>30</v>
      </c>
      <c r="AL52" s="21"/>
      <c r="AM52" s="88" t="s">
        <v>30</v>
      </c>
      <c r="AN52" s="38">
        <f t="shared" si="5"/>
        <v>12</v>
      </c>
      <c r="AO52" s="37" t="str">
        <f t="shared" si="6"/>
        <v>Raymond Hamilton Smith</v>
      </c>
    </row>
    <row r="53" spans="1:52" ht="15.75" thickTop="1">
      <c r="A53" s="5" t="s">
        <v>108</v>
      </c>
      <c r="B53" s="5" t="s">
        <v>213</v>
      </c>
      <c r="C53" s="5" t="s">
        <v>189</v>
      </c>
      <c r="D53" s="6" t="s">
        <v>109</v>
      </c>
      <c r="E53" s="43">
        <f t="shared" si="4"/>
        <v>13</v>
      </c>
      <c r="F53" s="132" t="s">
        <v>30</v>
      </c>
      <c r="G53" s="21"/>
      <c r="H53" s="102"/>
      <c r="I53" s="21"/>
      <c r="J53" s="21" t="s">
        <v>30</v>
      </c>
      <c r="K53" s="94"/>
      <c r="L53" s="21"/>
      <c r="M53" s="102"/>
      <c r="N53" s="21"/>
      <c r="O53" s="21" t="s">
        <v>30</v>
      </c>
      <c r="P53" s="21"/>
      <c r="Q53" s="125" t="s">
        <v>510</v>
      </c>
      <c r="R53" s="22" t="s">
        <v>30</v>
      </c>
      <c r="S53" s="102"/>
      <c r="T53" s="21" t="s">
        <v>30</v>
      </c>
      <c r="U53" s="21"/>
      <c r="V53" s="21" t="s">
        <v>30</v>
      </c>
      <c r="W53" s="21"/>
      <c r="X53" s="21"/>
      <c r="Y53" s="102"/>
      <c r="Z53" s="21" t="s">
        <v>30</v>
      </c>
      <c r="AA53" s="21" t="s">
        <v>30</v>
      </c>
      <c r="AB53" s="21"/>
      <c r="AC53" s="125" t="s">
        <v>30</v>
      </c>
      <c r="AD53" s="21"/>
      <c r="AE53" s="88" t="s">
        <v>30</v>
      </c>
      <c r="AF53" s="21" t="s">
        <v>30</v>
      </c>
      <c r="AG53" s="102"/>
      <c r="AH53" s="21"/>
      <c r="AI53" s="21"/>
      <c r="AJ53" s="21"/>
      <c r="AK53" s="21" t="s">
        <v>30</v>
      </c>
      <c r="AL53" s="21"/>
      <c r="AM53" s="88" t="s">
        <v>30</v>
      </c>
      <c r="AN53" s="38">
        <f t="shared" si="5"/>
        <v>13</v>
      </c>
      <c r="AO53" s="37" t="str">
        <f t="shared" si="6"/>
        <v>Christopher James Setterfield</v>
      </c>
    </row>
    <row r="54" spans="1:52">
      <c r="A54" s="68" t="s">
        <v>108</v>
      </c>
      <c r="B54" s="68" t="s">
        <v>214</v>
      </c>
      <c r="C54" s="68" t="s">
        <v>190</v>
      </c>
      <c r="D54" s="69" t="s">
        <v>109</v>
      </c>
      <c r="E54" s="70">
        <f t="shared" si="4"/>
        <v>9</v>
      </c>
      <c r="F54" s="129" t="s">
        <v>558</v>
      </c>
      <c r="G54" s="21" t="s">
        <v>510</v>
      </c>
      <c r="H54" s="21"/>
      <c r="I54" s="102" t="s">
        <v>30</v>
      </c>
      <c r="J54" s="21"/>
      <c r="K54" s="21" t="s">
        <v>510</v>
      </c>
      <c r="L54" s="21"/>
      <c r="M54" s="21"/>
      <c r="N54" s="94" t="s">
        <v>30</v>
      </c>
      <c r="O54" s="21"/>
      <c r="P54" s="21" t="s">
        <v>510</v>
      </c>
      <c r="Q54" s="125" t="s">
        <v>510</v>
      </c>
      <c r="R54" s="22"/>
      <c r="S54" s="21"/>
      <c r="T54" s="21"/>
      <c r="U54" s="21" t="s">
        <v>510</v>
      </c>
      <c r="V54" s="21" t="s">
        <v>30</v>
      </c>
      <c r="W54" s="21" t="s">
        <v>30</v>
      </c>
      <c r="X54" s="21" t="s">
        <v>510</v>
      </c>
      <c r="Y54" s="102"/>
      <c r="Z54" s="21"/>
      <c r="AA54" s="97" t="s">
        <v>510</v>
      </c>
      <c r="AB54" s="21"/>
      <c r="AC54" s="125" t="s">
        <v>30</v>
      </c>
      <c r="AD54" s="102"/>
      <c r="AE54" s="88" t="s">
        <v>30</v>
      </c>
      <c r="AF54" s="21"/>
      <c r="AG54" s="97" t="s">
        <v>30</v>
      </c>
      <c r="AH54" s="21"/>
      <c r="AI54" s="21"/>
      <c r="AJ54" s="21"/>
      <c r="AK54" s="21" t="s">
        <v>30</v>
      </c>
      <c r="AL54" s="21"/>
      <c r="AM54" s="88" t="s">
        <v>30</v>
      </c>
      <c r="AN54" s="38">
        <f t="shared" si="5"/>
        <v>9</v>
      </c>
      <c r="AO54" s="37" t="str">
        <f t="shared" si="6"/>
        <v>Stephen John Morgan</v>
      </c>
    </row>
    <row r="55" spans="1:52">
      <c r="A55" s="74" t="s">
        <v>108</v>
      </c>
      <c r="B55" s="74" t="s">
        <v>215</v>
      </c>
      <c r="C55" s="56" t="s">
        <v>191</v>
      </c>
      <c r="D55" s="69" t="s">
        <v>109</v>
      </c>
      <c r="E55" s="43">
        <f t="shared" si="4"/>
        <v>14</v>
      </c>
      <c r="F55" s="129"/>
      <c r="G55" s="21"/>
      <c r="H55" s="21" t="s">
        <v>30</v>
      </c>
      <c r="I55" s="21"/>
      <c r="J55" s="21" t="s">
        <v>30</v>
      </c>
      <c r="K55" s="21"/>
      <c r="L55" s="102"/>
      <c r="M55" s="21"/>
      <c r="N55" s="21"/>
      <c r="O55" s="21"/>
      <c r="P55" s="21"/>
      <c r="Q55" s="125" t="s">
        <v>30</v>
      </c>
      <c r="R55" s="22" t="s">
        <v>30</v>
      </c>
      <c r="S55" s="21"/>
      <c r="T55" s="21"/>
      <c r="U55" s="21"/>
      <c r="V55" s="102"/>
      <c r="W55" s="21"/>
      <c r="X55" s="21" t="s">
        <v>30</v>
      </c>
      <c r="Y55" s="102"/>
      <c r="Z55" s="21"/>
      <c r="AA55" s="21"/>
      <c r="AB55" s="102" t="s">
        <v>30</v>
      </c>
      <c r="AC55" s="125" t="s">
        <v>30</v>
      </c>
      <c r="AD55" s="21"/>
      <c r="AE55" s="88" t="s">
        <v>30</v>
      </c>
      <c r="AF55" s="21" t="s">
        <v>30</v>
      </c>
      <c r="AG55" s="21"/>
      <c r="AH55" s="102" t="s">
        <v>30</v>
      </c>
      <c r="AI55" s="21"/>
      <c r="AJ55" s="125" t="s">
        <v>30</v>
      </c>
      <c r="AK55" s="21" t="s">
        <v>30</v>
      </c>
      <c r="AL55" s="102" t="s">
        <v>30</v>
      </c>
      <c r="AM55" s="88" t="s">
        <v>30</v>
      </c>
      <c r="AN55" s="38">
        <f t="shared" si="5"/>
        <v>14</v>
      </c>
      <c r="AO55" s="37" t="str">
        <f t="shared" si="6"/>
        <v>Alexander Paul McLennan</v>
      </c>
    </row>
    <row r="56" spans="1:52">
      <c r="A56" s="74" t="s">
        <v>108</v>
      </c>
      <c r="B56" s="74" t="s">
        <v>216</v>
      </c>
      <c r="C56" s="56" t="s">
        <v>192</v>
      </c>
      <c r="D56" s="69" t="s">
        <v>109</v>
      </c>
      <c r="E56" s="43">
        <f t="shared" si="4"/>
        <v>14</v>
      </c>
      <c r="F56" s="129"/>
      <c r="G56" s="21"/>
      <c r="H56" s="21"/>
      <c r="I56" s="21"/>
      <c r="J56" s="21" t="s">
        <v>30</v>
      </c>
      <c r="K56" s="21"/>
      <c r="L56" s="21"/>
      <c r="M56" s="21" t="s">
        <v>30</v>
      </c>
      <c r="N56" s="94" t="s">
        <v>30</v>
      </c>
      <c r="O56" s="21"/>
      <c r="P56" s="21"/>
      <c r="Q56" s="125" t="s">
        <v>30</v>
      </c>
      <c r="R56" s="22" t="s">
        <v>30</v>
      </c>
      <c r="S56" s="21"/>
      <c r="T56" s="21"/>
      <c r="U56" s="21" t="s">
        <v>30</v>
      </c>
      <c r="V56" s="21" t="s">
        <v>30</v>
      </c>
      <c r="W56" s="21"/>
      <c r="X56" s="21" t="s">
        <v>30</v>
      </c>
      <c r="Y56" s="21"/>
      <c r="Z56" s="21"/>
      <c r="AA56" s="21"/>
      <c r="AB56" s="21"/>
      <c r="AC56" s="125" t="s">
        <v>30</v>
      </c>
      <c r="AD56" s="21"/>
      <c r="AE56" s="88" t="s">
        <v>30</v>
      </c>
      <c r="AF56" s="21" t="s">
        <v>30</v>
      </c>
      <c r="AG56" s="21"/>
      <c r="AH56" s="21"/>
      <c r="AI56" s="102"/>
      <c r="AJ56" s="21"/>
      <c r="AK56" s="21" t="s">
        <v>30</v>
      </c>
      <c r="AL56" s="129" t="s">
        <v>30</v>
      </c>
      <c r="AM56" s="88" t="s">
        <v>30</v>
      </c>
      <c r="AN56" s="38">
        <f t="shared" si="5"/>
        <v>14</v>
      </c>
      <c r="AO56" s="37" t="str">
        <f t="shared" si="6"/>
        <v>Andrew David Venn</v>
      </c>
    </row>
    <row r="57" spans="1:52" ht="15" customHeight="1">
      <c r="A57" s="75" t="s">
        <v>159</v>
      </c>
      <c r="B57" s="3" t="s">
        <v>200</v>
      </c>
      <c r="C57" s="3" t="s">
        <v>175</v>
      </c>
      <c r="D57" s="4" t="s">
        <v>98</v>
      </c>
      <c r="E57" s="43">
        <f t="shared" si="4"/>
        <v>0</v>
      </c>
      <c r="F57" s="129"/>
      <c r="G57" s="21"/>
      <c r="H57" s="21"/>
      <c r="I57" s="21"/>
      <c r="J57" s="21"/>
      <c r="K57" s="21"/>
      <c r="L57" s="21"/>
      <c r="M57" s="21" t="s">
        <v>558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 t="s">
        <v>558</v>
      </c>
      <c r="AE57" s="88" t="s">
        <v>558</v>
      </c>
      <c r="AF57" s="21" t="s">
        <v>558</v>
      </c>
      <c r="AG57" s="21"/>
      <c r="AH57" s="21"/>
      <c r="AI57" s="21"/>
      <c r="AJ57" s="21"/>
      <c r="AK57" s="21"/>
      <c r="AL57" s="21"/>
      <c r="AM57" s="88" t="s">
        <v>558</v>
      </c>
      <c r="AN57" s="38">
        <f t="shared" si="5"/>
        <v>0</v>
      </c>
      <c r="AO57" s="12" t="str">
        <f t="shared" si="6"/>
        <v>Gifton Roy Bailey</v>
      </c>
    </row>
    <row r="58" spans="1:52" ht="15" customHeight="1">
      <c r="A58" s="71" t="s">
        <v>160</v>
      </c>
      <c r="B58" s="207" t="s">
        <v>354</v>
      </c>
      <c r="C58" s="72" t="s">
        <v>116</v>
      </c>
      <c r="D58" s="72" t="s">
        <v>98</v>
      </c>
      <c r="E58" s="73">
        <f t="shared" si="4"/>
        <v>0</v>
      </c>
      <c r="F58" s="21"/>
      <c r="G58" s="21"/>
      <c r="H58" s="21"/>
      <c r="I58" s="21" t="s">
        <v>558</v>
      </c>
      <c r="J58" s="21"/>
      <c r="K58" s="21"/>
      <c r="L58" s="21"/>
      <c r="M58" s="21"/>
      <c r="N58" s="21"/>
      <c r="O58" s="21" t="s">
        <v>558</v>
      </c>
      <c r="P58" s="21"/>
      <c r="Q58" s="21"/>
      <c r="R58" s="21" t="s">
        <v>558</v>
      </c>
      <c r="S58" s="21"/>
      <c r="T58" s="21"/>
      <c r="U58" s="21"/>
      <c r="V58" s="21"/>
      <c r="W58" s="21"/>
      <c r="X58" s="21"/>
      <c r="Y58" s="21"/>
      <c r="Z58" s="21"/>
      <c r="AA58" s="21" t="s">
        <v>558</v>
      </c>
      <c r="AB58" s="21" t="s">
        <v>558</v>
      </c>
      <c r="AC58" s="21"/>
      <c r="AD58" s="21"/>
      <c r="AE58" s="88" t="s">
        <v>558</v>
      </c>
      <c r="AF58" s="21"/>
      <c r="AG58" s="21"/>
      <c r="AH58" s="21"/>
      <c r="AI58" s="21"/>
      <c r="AJ58" s="21"/>
      <c r="AK58" s="21"/>
      <c r="AL58" s="21"/>
      <c r="AM58" s="88" t="s">
        <v>558</v>
      </c>
      <c r="AN58" s="38">
        <f t="shared" si="5"/>
        <v>0</v>
      </c>
      <c r="AO58" s="12" t="str">
        <f t="shared" si="6"/>
        <v>Thomas Jeremy Ward</v>
      </c>
    </row>
    <row r="59" spans="1:52" ht="15" customHeight="1">
      <c r="A59" s="59" t="s">
        <v>161</v>
      </c>
      <c r="B59" s="26" t="s">
        <v>519</v>
      </c>
      <c r="C59" s="26" t="s">
        <v>520</v>
      </c>
      <c r="D59" s="26" t="s">
        <v>556</v>
      </c>
      <c r="E59" s="43">
        <f t="shared" si="4"/>
        <v>8</v>
      </c>
      <c r="F59" s="21"/>
      <c r="G59" s="21"/>
      <c r="H59" s="21"/>
      <c r="I59" s="21"/>
      <c r="J59" s="21" t="s">
        <v>30</v>
      </c>
      <c r="K59" s="21"/>
      <c r="L59" s="21" t="s">
        <v>30</v>
      </c>
      <c r="M59" s="21"/>
      <c r="N59" s="21" t="s">
        <v>30</v>
      </c>
      <c r="O59" s="21"/>
      <c r="P59" s="21"/>
      <c r="Q59" s="21"/>
      <c r="R59" s="21"/>
      <c r="S59" s="21" t="s">
        <v>30</v>
      </c>
      <c r="T59" s="21"/>
      <c r="U59" s="21"/>
      <c r="V59" s="21"/>
      <c r="W59" s="21"/>
      <c r="X59" s="21"/>
      <c r="Y59" s="21"/>
      <c r="Z59" s="21"/>
      <c r="AA59" s="21"/>
      <c r="AB59" s="21"/>
      <c r="AC59" s="21" t="s">
        <v>30</v>
      </c>
      <c r="AD59" s="21"/>
      <c r="AE59" s="88" t="s">
        <v>30</v>
      </c>
      <c r="AF59" s="21"/>
      <c r="AG59" s="21"/>
      <c r="AH59" s="21" t="s">
        <v>30</v>
      </c>
      <c r="AI59" s="21"/>
      <c r="AJ59" s="21"/>
      <c r="AK59" s="21"/>
      <c r="AL59" s="21"/>
      <c r="AM59" s="88" t="s">
        <v>30</v>
      </c>
      <c r="AN59" s="38">
        <f t="shared" si="5"/>
        <v>8</v>
      </c>
      <c r="AO59" s="12" t="str">
        <f t="shared" si="6"/>
        <v>Michael Geddes</v>
      </c>
    </row>
    <row r="60" spans="1:52" ht="15" customHeight="1">
      <c r="A60" s="59" t="s">
        <v>162</v>
      </c>
      <c r="B60" s="26" t="s">
        <v>551</v>
      </c>
      <c r="C60" s="26" t="s">
        <v>40</v>
      </c>
      <c r="D60" s="26" t="s">
        <v>552</v>
      </c>
      <c r="E60" s="43">
        <f t="shared" si="4"/>
        <v>9</v>
      </c>
      <c r="F60" s="21"/>
      <c r="G60" s="21" t="s">
        <v>30</v>
      </c>
      <c r="H60" s="21"/>
      <c r="I60" s="21"/>
      <c r="J60" s="21"/>
      <c r="K60" s="21"/>
      <c r="L60" s="21"/>
      <c r="M60" s="21"/>
      <c r="N60" s="21"/>
      <c r="O60" s="21"/>
      <c r="P60" s="21" t="s">
        <v>30</v>
      </c>
      <c r="Q60" s="21"/>
      <c r="R60" s="21"/>
      <c r="S60" s="21"/>
      <c r="T60" s="21" t="s">
        <v>30</v>
      </c>
      <c r="U60" s="21"/>
      <c r="V60" s="21" t="s">
        <v>30</v>
      </c>
      <c r="W60" s="21"/>
      <c r="X60" s="21" t="s">
        <v>30</v>
      </c>
      <c r="Y60" s="21"/>
      <c r="Z60" s="21" t="s">
        <v>30</v>
      </c>
      <c r="AA60" s="21"/>
      <c r="AB60" s="21"/>
      <c r="AC60" s="21"/>
      <c r="AD60" s="21"/>
      <c r="AE60" s="88" t="s">
        <v>30</v>
      </c>
      <c r="AF60" s="21"/>
      <c r="AG60" s="21"/>
      <c r="AH60" s="21"/>
      <c r="AI60" s="21"/>
      <c r="AJ60" s="21"/>
      <c r="AK60" s="21" t="s">
        <v>30</v>
      </c>
      <c r="AL60" s="21"/>
      <c r="AM60" s="88" t="s">
        <v>30</v>
      </c>
      <c r="AN60" s="38">
        <f t="shared" si="5"/>
        <v>9</v>
      </c>
      <c r="AO60" s="12" t="str">
        <f>B60&amp;" "&amp;C60</f>
        <v>Jordan Fretter</v>
      </c>
    </row>
    <row r="61" spans="1:52" s="28" customFormat="1">
      <c r="A61" s="59" t="s">
        <v>163</v>
      </c>
      <c r="B61" s="26" t="s">
        <v>553</v>
      </c>
      <c r="C61" s="27" t="s">
        <v>554</v>
      </c>
      <c r="D61" s="26" t="s">
        <v>555</v>
      </c>
      <c r="E61" s="43">
        <f t="shared" si="4"/>
        <v>6</v>
      </c>
      <c r="F61" s="125"/>
      <c r="G61" s="27"/>
      <c r="H61" s="27"/>
      <c r="I61" s="27"/>
      <c r="J61" s="27"/>
      <c r="K61" s="125" t="s">
        <v>30</v>
      </c>
      <c r="L61" s="27"/>
      <c r="M61" s="27"/>
      <c r="N61" s="27"/>
      <c r="O61" s="27"/>
      <c r="P61" s="27"/>
      <c r="Q61" s="125" t="s">
        <v>30</v>
      </c>
      <c r="R61" s="27"/>
      <c r="S61" s="27"/>
      <c r="T61" s="27"/>
      <c r="U61" s="27"/>
      <c r="V61" s="27"/>
      <c r="W61" s="125" t="s">
        <v>30</v>
      </c>
      <c r="X61" s="27"/>
      <c r="Y61" s="27"/>
      <c r="Z61" s="27"/>
      <c r="AA61" s="27"/>
      <c r="AB61" s="27"/>
      <c r="AC61" s="27"/>
      <c r="AD61" s="27"/>
      <c r="AE61" s="88" t="s">
        <v>30</v>
      </c>
      <c r="AF61" s="27"/>
      <c r="AG61" s="27" t="s">
        <v>30</v>
      </c>
      <c r="AH61" s="27"/>
      <c r="AI61" s="27"/>
      <c r="AJ61" s="27"/>
      <c r="AK61" s="27"/>
      <c r="AL61" s="27"/>
      <c r="AM61" s="88" t="s">
        <v>30</v>
      </c>
      <c r="AN61" s="38">
        <f t="shared" si="5"/>
        <v>6</v>
      </c>
      <c r="AO61" s="12" t="str">
        <f>B61&amp;" "&amp;C61</f>
        <v xml:space="preserve">Nasser Sharifi </v>
      </c>
      <c r="AZ61" s="12"/>
    </row>
    <row r="62" spans="1:52" ht="15" customHeight="1">
      <c r="A62" s="59" t="s">
        <v>111</v>
      </c>
      <c r="B62" s="26" t="s">
        <v>43</v>
      </c>
      <c r="C62" s="26" t="s">
        <v>518</v>
      </c>
      <c r="D62" s="26" t="s">
        <v>59</v>
      </c>
      <c r="E62" s="43">
        <f t="shared" si="4"/>
        <v>0</v>
      </c>
      <c r="F62" s="21"/>
      <c r="G62" s="21"/>
      <c r="H62" s="21" t="s">
        <v>558</v>
      </c>
      <c r="I62" s="21"/>
      <c r="J62" s="21"/>
      <c r="K62" s="21"/>
      <c r="L62" s="102"/>
      <c r="M62" s="21"/>
      <c r="N62" s="21"/>
      <c r="O62" s="21"/>
      <c r="P62" s="102"/>
      <c r="Q62" s="102"/>
      <c r="R62" s="21"/>
      <c r="S62" s="21"/>
      <c r="T62" s="21"/>
      <c r="U62" s="102" t="s">
        <v>558</v>
      </c>
      <c r="V62" s="102"/>
      <c r="W62" s="21"/>
      <c r="X62" s="102"/>
      <c r="Y62" s="21" t="s">
        <v>558</v>
      </c>
      <c r="Z62" s="21"/>
      <c r="AA62" s="21"/>
      <c r="AB62" s="21"/>
      <c r="AC62" s="102"/>
      <c r="AD62" s="102"/>
      <c r="AE62" s="88" t="s">
        <v>558</v>
      </c>
      <c r="AF62" s="21"/>
      <c r="AG62" s="21"/>
      <c r="AH62" s="21"/>
      <c r="AI62" s="21" t="s">
        <v>558</v>
      </c>
      <c r="AJ62" s="102" t="s">
        <v>558</v>
      </c>
      <c r="AK62" s="21" t="s">
        <v>558</v>
      </c>
      <c r="AL62" s="102" t="s">
        <v>558</v>
      </c>
      <c r="AM62" s="88" t="s">
        <v>558</v>
      </c>
      <c r="AN62" s="38">
        <f t="shared" si="5"/>
        <v>0</v>
      </c>
      <c r="AO62" s="12" t="str">
        <f>B62&amp;" "&amp;C62</f>
        <v>David Hilton MBE, RN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5B5F-72B6-4B46-BC27-C77853048EC1}">
  <dimension ref="D3:S59"/>
  <sheetViews>
    <sheetView topLeftCell="D17" workbookViewId="0">
      <pane xSplit="3" topLeftCell="G1" activePane="topRight" state="frozen"/>
      <selection activeCell="D1" sqref="D1"/>
      <selection pane="topRight" activeCell="L18" sqref="L18"/>
    </sheetView>
  </sheetViews>
  <sheetFormatPr defaultColWidth="8.85546875" defaultRowHeight="13.5"/>
  <cols>
    <col min="4" max="4" width="45.42578125" style="121" bestFit="1" customWidth="1"/>
    <col min="5" max="5" width="14.85546875" bestFit="1" customWidth="1"/>
    <col min="6" max="6" width="10.42578125" bestFit="1" customWidth="1"/>
    <col min="11" max="12" width="15.85546875" customWidth="1"/>
    <col min="13" max="13" width="28.7109375" customWidth="1"/>
    <col min="14" max="14" width="38.85546875" customWidth="1"/>
    <col min="16" max="16" width="16.42578125" customWidth="1"/>
    <col min="17" max="17" width="61.85546875" customWidth="1"/>
  </cols>
  <sheetData>
    <row r="3" spans="4:19" ht="30" customHeight="1">
      <c r="D3" s="123" t="s">
        <v>495</v>
      </c>
      <c r="E3" s="115" t="s">
        <v>221</v>
      </c>
      <c r="F3" s="115" t="s">
        <v>493</v>
      </c>
      <c r="G3" s="115" t="s">
        <v>222</v>
      </c>
      <c r="H3" s="115" t="s">
        <v>223</v>
      </c>
      <c r="I3" s="115" t="s">
        <v>224</v>
      </c>
      <c r="J3" s="115" t="s">
        <v>225</v>
      </c>
      <c r="K3" s="115" t="s">
        <v>226</v>
      </c>
      <c r="L3" s="115" t="s">
        <v>227</v>
      </c>
      <c r="M3" s="115" t="s">
        <v>228</v>
      </c>
      <c r="N3" s="115" t="s">
        <v>229</v>
      </c>
    </row>
    <row r="4" spans="4:19" ht="30" customHeight="1">
      <c r="D4" s="210" t="s">
        <v>14</v>
      </c>
      <c r="E4" s="211" t="s">
        <v>28</v>
      </c>
      <c r="F4" s="211" t="s">
        <v>549</v>
      </c>
      <c r="G4" s="115"/>
      <c r="H4" s="211" t="s">
        <v>534</v>
      </c>
      <c r="I4" s="211" t="s">
        <v>28</v>
      </c>
      <c r="J4" s="211" t="s">
        <v>232</v>
      </c>
      <c r="K4" s="115"/>
      <c r="L4" s="211" t="s">
        <v>538</v>
      </c>
      <c r="M4" s="212" t="s">
        <v>535</v>
      </c>
      <c r="N4" s="214" t="s">
        <v>557</v>
      </c>
    </row>
    <row r="5" spans="4:19" ht="30" customHeight="1">
      <c r="D5" s="210" t="s">
        <v>523</v>
      </c>
      <c r="E5" s="211" t="s">
        <v>31</v>
      </c>
      <c r="F5" s="211" t="s">
        <v>526</v>
      </c>
      <c r="G5" s="115"/>
      <c r="H5" s="211" t="s">
        <v>541</v>
      </c>
      <c r="I5" s="211" t="s">
        <v>31</v>
      </c>
      <c r="J5" s="211" t="s">
        <v>232</v>
      </c>
      <c r="K5" s="115"/>
      <c r="L5" s="211" t="s">
        <v>543</v>
      </c>
      <c r="M5" s="212" t="s">
        <v>542</v>
      </c>
      <c r="N5" s="115"/>
    </row>
    <row r="6" spans="4:19" ht="30" customHeight="1">
      <c r="D6" s="210" t="s">
        <v>524</v>
      </c>
      <c r="E6" s="211" t="s">
        <v>525</v>
      </c>
      <c r="F6" s="211" t="s">
        <v>527</v>
      </c>
      <c r="G6" s="115"/>
      <c r="H6" s="211" t="s">
        <v>530</v>
      </c>
      <c r="I6" s="211" t="s">
        <v>525</v>
      </c>
      <c r="J6" s="211" t="s">
        <v>232</v>
      </c>
      <c r="K6" s="115"/>
      <c r="L6" s="211" t="s">
        <v>545</v>
      </c>
      <c r="M6" s="212" t="s">
        <v>544</v>
      </c>
      <c r="N6" s="213" t="s">
        <v>548</v>
      </c>
      <c r="P6" t="s">
        <v>547</v>
      </c>
    </row>
    <row r="7" spans="4:19" ht="30" customHeight="1">
      <c r="D7" s="210" t="s">
        <v>115</v>
      </c>
      <c r="E7" s="211" t="s">
        <v>39</v>
      </c>
      <c r="F7" s="211" t="s">
        <v>528</v>
      </c>
      <c r="G7" s="115"/>
      <c r="H7" s="211" t="s">
        <v>369</v>
      </c>
      <c r="I7" s="211" t="s">
        <v>532</v>
      </c>
      <c r="J7" s="211" t="s">
        <v>232</v>
      </c>
      <c r="K7" s="115"/>
      <c r="L7" s="211" t="s">
        <v>540</v>
      </c>
      <c r="M7" s="212" t="s">
        <v>539</v>
      </c>
      <c r="N7" s="211" t="s">
        <v>550</v>
      </c>
    </row>
    <row r="8" spans="4:19" ht="30" customHeight="1">
      <c r="D8" s="210" t="s">
        <v>36</v>
      </c>
      <c r="E8" s="211" t="s">
        <v>37</v>
      </c>
      <c r="F8" s="211" t="s">
        <v>529</v>
      </c>
      <c r="G8" s="115"/>
      <c r="H8" s="211" t="s">
        <v>531</v>
      </c>
      <c r="I8" s="211" t="s">
        <v>533</v>
      </c>
      <c r="J8" s="211" t="s">
        <v>232</v>
      </c>
      <c r="K8" s="115"/>
      <c r="L8" s="211" t="s">
        <v>537</v>
      </c>
      <c r="M8" s="212" t="s">
        <v>536</v>
      </c>
      <c r="N8" s="115"/>
    </row>
    <row r="9" spans="4:19" ht="30" customHeight="1">
      <c r="D9" s="118" t="s">
        <v>41</v>
      </c>
      <c r="E9" s="116" t="s">
        <v>42</v>
      </c>
      <c r="F9" s="116" t="s">
        <v>230</v>
      </c>
      <c r="G9" s="117"/>
      <c r="H9" s="116" t="s">
        <v>231</v>
      </c>
      <c r="I9" s="116" t="s">
        <v>43</v>
      </c>
      <c r="J9" s="116" t="s">
        <v>232</v>
      </c>
      <c r="K9" s="117"/>
      <c r="L9" s="116" t="s">
        <v>233</v>
      </c>
      <c r="M9" s="116" t="s">
        <v>234</v>
      </c>
      <c r="N9" s="116" t="s">
        <v>235</v>
      </c>
    </row>
    <row r="10" spans="4:19" ht="30" customHeight="1">
      <c r="D10" s="148" t="s">
        <v>46</v>
      </c>
      <c r="E10" s="149" t="s">
        <v>61</v>
      </c>
      <c r="F10" s="149" t="s">
        <v>236</v>
      </c>
      <c r="G10" s="150"/>
      <c r="H10" s="149" t="s">
        <v>237</v>
      </c>
      <c r="I10" s="149" t="s">
        <v>61</v>
      </c>
      <c r="J10" s="149" t="s">
        <v>232</v>
      </c>
      <c r="K10" s="150"/>
      <c r="L10" s="149" t="s">
        <v>238</v>
      </c>
      <c r="M10" s="149" t="s">
        <v>239</v>
      </c>
      <c r="N10" s="149" t="s">
        <v>240</v>
      </c>
      <c r="P10" s="195" t="s">
        <v>513</v>
      </c>
      <c r="R10" s="165" t="s">
        <v>14</v>
      </c>
      <c r="S10" s="180" t="s">
        <v>509</v>
      </c>
    </row>
    <row r="11" spans="4:19" ht="30" customHeight="1">
      <c r="D11" s="151" t="s">
        <v>48</v>
      </c>
      <c r="E11" s="152" t="s">
        <v>49</v>
      </c>
      <c r="F11" s="152" t="s">
        <v>241</v>
      </c>
      <c r="G11" s="153"/>
      <c r="H11" s="152" t="s">
        <v>242</v>
      </c>
      <c r="I11" s="152" t="s">
        <v>243</v>
      </c>
      <c r="J11" s="152" t="s">
        <v>232</v>
      </c>
      <c r="K11" s="152" t="s">
        <v>244</v>
      </c>
      <c r="L11" s="152" t="s">
        <v>245</v>
      </c>
      <c r="M11" s="152" t="s">
        <v>246</v>
      </c>
      <c r="N11" s="152" t="s">
        <v>247</v>
      </c>
      <c r="R11" s="165" t="s">
        <v>501</v>
      </c>
      <c r="S11" s="177" t="s">
        <v>506</v>
      </c>
    </row>
    <row r="12" spans="4:19" ht="30" customHeight="1">
      <c r="D12" s="119" t="s">
        <v>52</v>
      </c>
      <c r="E12" s="116" t="s">
        <v>248</v>
      </c>
      <c r="F12" s="116" t="s">
        <v>249</v>
      </c>
      <c r="G12" s="117"/>
      <c r="H12" s="116" t="s">
        <v>250</v>
      </c>
      <c r="I12" s="116" t="s">
        <v>251</v>
      </c>
      <c r="J12" s="116" t="s">
        <v>232</v>
      </c>
      <c r="K12" s="116" t="s">
        <v>252</v>
      </c>
      <c r="L12" s="117"/>
      <c r="M12" s="116" t="s">
        <v>253</v>
      </c>
      <c r="N12" s="116" t="s">
        <v>254</v>
      </c>
      <c r="R12" s="167" t="s">
        <v>502</v>
      </c>
      <c r="S12" s="178" t="s">
        <v>507</v>
      </c>
    </row>
    <row r="13" spans="4:19" ht="30" customHeight="1">
      <c r="D13" s="119" t="s">
        <v>55</v>
      </c>
      <c r="E13" s="116" t="s">
        <v>255</v>
      </c>
      <c r="F13" s="116" t="s">
        <v>256</v>
      </c>
      <c r="G13" s="117"/>
      <c r="H13" s="116" t="s">
        <v>257</v>
      </c>
      <c r="I13" s="116" t="s">
        <v>258</v>
      </c>
      <c r="J13" s="116" t="s">
        <v>232</v>
      </c>
      <c r="K13" s="116" t="s">
        <v>259</v>
      </c>
      <c r="L13" s="116" t="s">
        <v>260</v>
      </c>
      <c r="M13" s="116" t="s">
        <v>261</v>
      </c>
      <c r="N13" s="116" t="s">
        <v>262</v>
      </c>
      <c r="R13" s="166" t="s">
        <v>503</v>
      </c>
      <c r="S13" s="179" t="s">
        <v>508</v>
      </c>
    </row>
    <row r="14" spans="4:19" ht="30" customHeight="1">
      <c r="D14" s="119" t="s">
        <v>58</v>
      </c>
      <c r="E14" s="116" t="s">
        <v>43</v>
      </c>
      <c r="F14" s="116" t="s">
        <v>263</v>
      </c>
      <c r="G14" s="116" t="s">
        <v>264</v>
      </c>
      <c r="H14" s="116" t="s">
        <v>265</v>
      </c>
      <c r="I14" s="117" t="s">
        <v>43</v>
      </c>
      <c r="J14" s="116" t="s">
        <v>232</v>
      </c>
      <c r="K14" s="116" t="s">
        <v>266</v>
      </c>
      <c r="L14" s="116" t="s">
        <v>267</v>
      </c>
      <c r="M14" s="116" t="s">
        <v>268</v>
      </c>
      <c r="N14" s="116" t="s">
        <v>269</v>
      </c>
      <c r="R14" s="167" t="s">
        <v>504</v>
      </c>
      <c r="S14" s="178" t="s">
        <v>240</v>
      </c>
    </row>
    <row r="15" spans="4:19" ht="30" customHeight="1">
      <c r="D15" s="119" t="s">
        <v>60</v>
      </c>
      <c r="E15" s="116" t="s">
        <v>270</v>
      </c>
      <c r="F15" s="116" t="s">
        <v>271</v>
      </c>
      <c r="G15" s="117"/>
      <c r="H15" s="116" t="s">
        <v>272</v>
      </c>
      <c r="I15" s="117" t="s">
        <v>70</v>
      </c>
      <c r="J15" s="116" t="s">
        <v>232</v>
      </c>
      <c r="K15" s="117"/>
      <c r="L15" s="116" t="s">
        <v>273</v>
      </c>
      <c r="M15" s="116" t="s">
        <v>274</v>
      </c>
      <c r="N15" s="116" t="s">
        <v>275</v>
      </c>
    </row>
    <row r="16" spans="4:19" ht="30" customHeight="1">
      <c r="D16" s="154" t="s">
        <v>63</v>
      </c>
      <c r="E16" s="152" t="s">
        <v>193</v>
      </c>
      <c r="F16" s="152" t="s">
        <v>276</v>
      </c>
      <c r="G16" s="153"/>
      <c r="H16" s="152" t="s">
        <v>277</v>
      </c>
      <c r="I16" s="152" t="s">
        <v>258</v>
      </c>
      <c r="J16" s="152" t="s">
        <v>232</v>
      </c>
      <c r="K16" s="152" t="s">
        <v>278</v>
      </c>
      <c r="L16" s="152" t="s">
        <v>279</v>
      </c>
      <c r="M16" s="152" t="s">
        <v>280</v>
      </c>
      <c r="N16" s="152" t="s">
        <v>281</v>
      </c>
    </row>
    <row r="17" spans="4:16" ht="30" customHeight="1">
      <c r="D17" s="119" t="s">
        <v>65</v>
      </c>
      <c r="E17" s="116" t="s">
        <v>282</v>
      </c>
      <c r="F17" s="116" t="s">
        <v>283</v>
      </c>
      <c r="G17" s="117"/>
      <c r="H17" s="116" t="s">
        <v>284</v>
      </c>
      <c r="I17" s="116" t="s">
        <v>243</v>
      </c>
      <c r="J17" s="116" t="s">
        <v>232</v>
      </c>
      <c r="K17" s="116" t="s">
        <v>285</v>
      </c>
      <c r="L17" s="116" t="s">
        <v>286</v>
      </c>
      <c r="M17" s="116" t="s">
        <v>287</v>
      </c>
      <c r="N17" s="116" t="s">
        <v>288</v>
      </c>
    </row>
    <row r="18" spans="4:16" ht="30" customHeight="1">
      <c r="D18" s="119" t="s">
        <v>65</v>
      </c>
      <c r="E18" s="116" t="s">
        <v>289</v>
      </c>
      <c r="F18" s="116" t="s">
        <v>290</v>
      </c>
      <c r="G18" s="117"/>
      <c r="H18" s="116" t="s">
        <v>291</v>
      </c>
      <c r="I18" s="116" t="s">
        <v>292</v>
      </c>
      <c r="J18" s="116" t="s">
        <v>232</v>
      </c>
      <c r="K18" s="117"/>
      <c r="L18" s="116" t="s">
        <v>293</v>
      </c>
      <c r="M18" s="116" t="s">
        <v>294</v>
      </c>
      <c r="N18" s="116" t="s">
        <v>295</v>
      </c>
    </row>
    <row r="19" spans="4:16" ht="30" customHeight="1">
      <c r="D19" s="119" t="s">
        <v>65</v>
      </c>
      <c r="E19" s="116" t="s">
        <v>194</v>
      </c>
      <c r="F19" s="116" t="s">
        <v>296</v>
      </c>
      <c r="G19" s="117"/>
      <c r="H19" s="116" t="s">
        <v>297</v>
      </c>
      <c r="I19" s="116" t="s">
        <v>298</v>
      </c>
      <c r="J19" s="116" t="s">
        <v>232</v>
      </c>
      <c r="K19" s="116" t="s">
        <v>299</v>
      </c>
      <c r="L19" s="116" t="s">
        <v>300</v>
      </c>
      <c r="M19" s="116" t="s">
        <v>301</v>
      </c>
      <c r="N19" s="116" t="s">
        <v>302</v>
      </c>
    </row>
    <row r="20" spans="4:16" ht="30" customHeight="1">
      <c r="D20" s="119" t="s">
        <v>69</v>
      </c>
      <c r="E20" s="116" t="s">
        <v>195</v>
      </c>
      <c r="F20" s="116" t="s">
        <v>303</v>
      </c>
      <c r="G20" s="117"/>
      <c r="H20" s="116" t="s">
        <v>257</v>
      </c>
      <c r="I20" s="116" t="s">
        <v>304</v>
      </c>
      <c r="J20" s="116" t="s">
        <v>232</v>
      </c>
      <c r="K20" s="116" t="s">
        <v>305</v>
      </c>
      <c r="L20" s="116" t="s">
        <v>306</v>
      </c>
      <c r="M20" s="116" t="s">
        <v>307</v>
      </c>
      <c r="N20" s="116" t="s">
        <v>308</v>
      </c>
    </row>
    <row r="21" spans="4:16" ht="30" customHeight="1">
      <c r="D21" s="119" t="s">
        <v>72</v>
      </c>
      <c r="E21" s="116" t="s">
        <v>309</v>
      </c>
      <c r="F21" s="116" t="s">
        <v>310</v>
      </c>
      <c r="G21" s="117"/>
      <c r="H21" s="116" t="s">
        <v>257</v>
      </c>
      <c r="I21" s="116" t="s">
        <v>73</v>
      </c>
      <c r="J21" s="116" t="s">
        <v>232</v>
      </c>
      <c r="K21" s="116" t="s">
        <v>311</v>
      </c>
      <c r="L21" s="116" t="s">
        <v>312</v>
      </c>
      <c r="M21" s="116" t="s">
        <v>313</v>
      </c>
      <c r="N21" s="116" t="s">
        <v>314</v>
      </c>
    </row>
    <row r="22" spans="4:16" ht="30" customHeight="1">
      <c r="D22" s="119" t="s">
        <v>76</v>
      </c>
      <c r="E22" s="116" t="s">
        <v>315</v>
      </c>
      <c r="F22" s="116" t="s">
        <v>316</v>
      </c>
      <c r="G22" s="117"/>
      <c r="H22" s="116" t="s">
        <v>317</v>
      </c>
      <c r="I22" s="117" t="s">
        <v>43</v>
      </c>
      <c r="J22" s="116" t="s">
        <v>232</v>
      </c>
      <c r="K22" s="116" t="s">
        <v>318</v>
      </c>
      <c r="L22" s="116" t="s">
        <v>319</v>
      </c>
      <c r="M22" s="116" t="s">
        <v>320</v>
      </c>
      <c r="N22" s="116" t="s">
        <v>321</v>
      </c>
      <c r="P22" s="194" t="s">
        <v>515</v>
      </c>
    </row>
    <row r="23" spans="4:16" ht="30" customHeight="1">
      <c r="D23" s="119" t="s">
        <v>79</v>
      </c>
      <c r="E23" s="116" t="s">
        <v>80</v>
      </c>
      <c r="F23" s="116" t="s">
        <v>322</v>
      </c>
      <c r="G23" s="117"/>
      <c r="H23" s="116" t="s">
        <v>323</v>
      </c>
      <c r="I23" s="116" t="s">
        <v>324</v>
      </c>
      <c r="J23" s="116" t="s">
        <v>232</v>
      </c>
      <c r="K23" s="117"/>
      <c r="L23" s="116" t="s">
        <v>325</v>
      </c>
      <c r="M23" s="116" t="s">
        <v>326</v>
      </c>
      <c r="N23" s="116" t="s">
        <v>327</v>
      </c>
    </row>
    <row r="24" spans="4:16" ht="30" customHeight="1">
      <c r="D24" s="119" t="s">
        <v>84</v>
      </c>
      <c r="E24" s="116" t="s">
        <v>196</v>
      </c>
      <c r="F24" s="116" t="s">
        <v>171</v>
      </c>
      <c r="G24" s="117"/>
      <c r="H24" s="116" t="s">
        <v>250</v>
      </c>
      <c r="I24" s="116" t="s">
        <v>498</v>
      </c>
      <c r="J24" s="116" t="s">
        <v>370</v>
      </c>
      <c r="K24" s="117"/>
      <c r="L24" s="116" t="s">
        <v>497</v>
      </c>
      <c r="M24" s="120" t="s">
        <v>496</v>
      </c>
      <c r="N24" s="116" t="s">
        <v>499</v>
      </c>
    </row>
    <row r="25" spans="4:16" ht="30" customHeight="1">
      <c r="D25" s="119" t="s">
        <v>86</v>
      </c>
      <c r="E25" s="116" t="s">
        <v>328</v>
      </c>
      <c r="F25" s="116" t="s">
        <v>329</v>
      </c>
      <c r="G25" s="117"/>
      <c r="H25" s="116" t="s">
        <v>330</v>
      </c>
      <c r="I25" s="116" t="s">
        <v>87</v>
      </c>
      <c r="J25" s="116" t="s">
        <v>232</v>
      </c>
      <c r="K25" s="116" t="s">
        <v>331</v>
      </c>
      <c r="L25" s="116" t="s">
        <v>332</v>
      </c>
      <c r="M25" s="116" t="s">
        <v>333</v>
      </c>
      <c r="N25" s="116" t="s">
        <v>334</v>
      </c>
      <c r="P25" s="194" t="s">
        <v>511</v>
      </c>
    </row>
    <row r="26" spans="4:16" ht="30" customHeight="1">
      <c r="D26" s="119" t="s">
        <v>90</v>
      </c>
      <c r="E26" s="116" t="s">
        <v>197</v>
      </c>
      <c r="F26" s="116" t="s">
        <v>335</v>
      </c>
      <c r="G26" s="117"/>
      <c r="H26" s="116" t="s">
        <v>336</v>
      </c>
      <c r="I26" s="117" t="s">
        <v>494</v>
      </c>
      <c r="J26" s="116" t="s">
        <v>232</v>
      </c>
      <c r="K26" s="116" t="s">
        <v>337</v>
      </c>
      <c r="L26" s="116" t="s">
        <v>338</v>
      </c>
      <c r="M26" s="116" t="s">
        <v>339</v>
      </c>
      <c r="N26" s="116" t="s">
        <v>340</v>
      </c>
    </row>
    <row r="27" spans="4:16" ht="30" customHeight="1">
      <c r="D27" s="119" t="s">
        <v>92</v>
      </c>
      <c r="E27" s="116" t="s">
        <v>198</v>
      </c>
      <c r="F27" s="116" t="s">
        <v>341</v>
      </c>
      <c r="G27" s="117"/>
      <c r="H27" s="116" t="s">
        <v>342</v>
      </c>
      <c r="I27" s="116" t="s">
        <v>343</v>
      </c>
      <c r="J27" s="116" t="s">
        <v>232</v>
      </c>
      <c r="K27" s="117"/>
      <c r="L27" s="116" t="s">
        <v>344</v>
      </c>
      <c r="M27" s="116" t="s">
        <v>345</v>
      </c>
      <c r="N27" s="116" t="s">
        <v>346</v>
      </c>
    </row>
    <row r="28" spans="4:16" ht="30" customHeight="1">
      <c r="D28" s="155" t="s">
        <v>94</v>
      </c>
      <c r="E28" s="156" t="s">
        <v>199</v>
      </c>
      <c r="F28" s="156" t="s">
        <v>347</v>
      </c>
      <c r="G28" s="157"/>
      <c r="H28" s="156" t="s">
        <v>348</v>
      </c>
      <c r="I28" s="156" t="s">
        <v>349</v>
      </c>
      <c r="J28" s="156" t="s">
        <v>232</v>
      </c>
      <c r="K28" s="156" t="s">
        <v>350</v>
      </c>
      <c r="L28" s="156" t="s">
        <v>351</v>
      </c>
      <c r="M28" s="156" t="s">
        <v>352</v>
      </c>
      <c r="N28" s="156" t="s">
        <v>353</v>
      </c>
    </row>
    <row r="29" spans="4:16" ht="30" customHeight="1">
      <c r="D29" s="158" t="s">
        <v>96</v>
      </c>
      <c r="E29" s="159" t="s">
        <v>354</v>
      </c>
      <c r="F29" s="159" t="s">
        <v>355</v>
      </c>
      <c r="G29" s="160"/>
      <c r="H29" s="159" t="s">
        <v>356</v>
      </c>
      <c r="I29" s="159" t="s">
        <v>357</v>
      </c>
      <c r="J29" s="159" t="s">
        <v>232</v>
      </c>
      <c r="K29" s="159" t="s">
        <v>358</v>
      </c>
      <c r="L29" s="159" t="s">
        <v>359</v>
      </c>
      <c r="M29" s="159" t="s">
        <v>360</v>
      </c>
      <c r="N29" s="159" t="s">
        <v>361</v>
      </c>
    </row>
    <row r="30" spans="4:16" ht="30" customHeight="1">
      <c r="D30" s="119" t="s">
        <v>96</v>
      </c>
      <c r="E30" s="116" t="s">
        <v>200</v>
      </c>
      <c r="F30" s="116" t="s">
        <v>362</v>
      </c>
      <c r="G30" s="117"/>
      <c r="H30" s="116" t="s">
        <v>363</v>
      </c>
      <c r="I30" s="116" t="s">
        <v>364</v>
      </c>
      <c r="J30" s="116" t="s">
        <v>232</v>
      </c>
      <c r="K30" s="117"/>
      <c r="L30" s="116" t="s">
        <v>365</v>
      </c>
      <c r="M30" s="116" t="s">
        <v>366</v>
      </c>
      <c r="N30" s="116" t="s">
        <v>367</v>
      </c>
    </row>
    <row r="31" spans="4:16" ht="30" customHeight="1">
      <c r="D31" s="155" t="s">
        <v>96</v>
      </c>
      <c r="E31" s="156" t="s">
        <v>201</v>
      </c>
      <c r="F31" s="156" t="s">
        <v>368</v>
      </c>
      <c r="G31" s="157"/>
      <c r="H31" s="156" t="s">
        <v>369</v>
      </c>
      <c r="I31" s="156" t="s">
        <v>324</v>
      </c>
      <c r="J31" s="156" t="s">
        <v>370</v>
      </c>
      <c r="K31" s="157"/>
      <c r="L31" s="156" t="s">
        <v>371</v>
      </c>
      <c r="M31" s="156" t="s">
        <v>372</v>
      </c>
      <c r="N31" s="156" t="s">
        <v>373</v>
      </c>
    </row>
    <row r="32" spans="4:16" ht="30" customHeight="1">
      <c r="D32" s="161" t="s">
        <v>96</v>
      </c>
      <c r="E32" s="149" t="s">
        <v>202</v>
      </c>
      <c r="F32" s="149" t="s">
        <v>374</v>
      </c>
      <c r="G32" s="150"/>
      <c r="H32" s="149" t="s">
        <v>375</v>
      </c>
      <c r="I32" s="149" t="s">
        <v>376</v>
      </c>
      <c r="J32" s="149" t="s">
        <v>232</v>
      </c>
      <c r="K32" s="149" t="s">
        <v>377</v>
      </c>
      <c r="L32" s="149" t="s">
        <v>378</v>
      </c>
      <c r="M32" s="149" t="s">
        <v>379</v>
      </c>
      <c r="N32" s="149" t="s">
        <v>380</v>
      </c>
    </row>
    <row r="33" spans="4:16" ht="30" customHeight="1">
      <c r="D33" s="124" t="s">
        <v>96</v>
      </c>
      <c r="E33" s="116" t="s">
        <v>61</v>
      </c>
      <c r="F33" s="116" t="s">
        <v>381</v>
      </c>
      <c r="G33" s="117"/>
      <c r="H33" s="116" t="s">
        <v>237</v>
      </c>
      <c r="I33" s="116" t="s">
        <v>61</v>
      </c>
      <c r="J33" s="116" t="s">
        <v>232</v>
      </c>
      <c r="K33" s="116" t="s">
        <v>382</v>
      </c>
      <c r="L33" s="116" t="s">
        <v>383</v>
      </c>
      <c r="M33" s="116" t="s">
        <v>384</v>
      </c>
      <c r="N33" s="116" t="s">
        <v>385</v>
      </c>
    </row>
    <row r="34" spans="4:16" ht="30" customHeight="1">
      <c r="D34" s="124" t="s">
        <v>100</v>
      </c>
      <c r="E34" s="116" t="s">
        <v>386</v>
      </c>
      <c r="F34" s="116" t="s">
        <v>387</v>
      </c>
      <c r="G34" s="117"/>
      <c r="H34" s="116" t="s">
        <v>388</v>
      </c>
      <c r="I34" s="116" t="s">
        <v>81</v>
      </c>
      <c r="J34" s="116" t="s">
        <v>232</v>
      </c>
      <c r="K34" s="116" t="s">
        <v>389</v>
      </c>
      <c r="L34" s="116" t="s">
        <v>389</v>
      </c>
      <c r="M34" s="116" t="s">
        <v>390</v>
      </c>
      <c r="N34" s="116" t="s">
        <v>391</v>
      </c>
    </row>
    <row r="35" spans="4:16" ht="30" customHeight="1">
      <c r="D35" s="162" t="s">
        <v>103</v>
      </c>
      <c r="E35" s="156" t="s">
        <v>97</v>
      </c>
      <c r="F35" s="156" t="s">
        <v>392</v>
      </c>
      <c r="G35" s="157"/>
      <c r="H35" s="156" t="s">
        <v>393</v>
      </c>
      <c r="I35" s="156" t="s">
        <v>97</v>
      </c>
      <c r="J35" s="156" t="s">
        <v>232</v>
      </c>
      <c r="K35" s="156" t="s">
        <v>394</v>
      </c>
      <c r="L35" s="156" t="s">
        <v>395</v>
      </c>
      <c r="M35" s="156" t="s">
        <v>396</v>
      </c>
      <c r="N35" s="156" t="s">
        <v>397</v>
      </c>
    </row>
    <row r="36" spans="4:16" ht="30" customHeight="1">
      <c r="D36" s="124" t="s">
        <v>103</v>
      </c>
      <c r="E36" s="116" t="s">
        <v>203</v>
      </c>
      <c r="F36" s="116" t="s">
        <v>398</v>
      </c>
      <c r="G36" s="117"/>
      <c r="H36" s="116" t="s">
        <v>399</v>
      </c>
      <c r="I36" s="116" t="s">
        <v>400</v>
      </c>
      <c r="J36" s="116" t="s">
        <v>232</v>
      </c>
      <c r="K36" s="116" t="s">
        <v>401</v>
      </c>
      <c r="L36" s="116" t="s">
        <v>402</v>
      </c>
      <c r="M36" s="116" t="s">
        <v>403</v>
      </c>
      <c r="N36" s="116" t="s">
        <v>404</v>
      </c>
    </row>
    <row r="37" spans="4:16" ht="30" customHeight="1">
      <c r="D37" s="163" t="s">
        <v>103</v>
      </c>
      <c r="E37" s="159" t="s">
        <v>204</v>
      </c>
      <c r="F37" s="159" t="s">
        <v>405</v>
      </c>
      <c r="G37" s="160"/>
      <c r="H37" s="159" t="s">
        <v>406</v>
      </c>
      <c r="I37" s="159" t="s">
        <v>407</v>
      </c>
      <c r="J37" s="159" t="s">
        <v>232</v>
      </c>
      <c r="K37" s="159" t="s">
        <v>408</v>
      </c>
      <c r="L37" s="159" t="s">
        <v>409</v>
      </c>
      <c r="M37" s="159" t="s">
        <v>410</v>
      </c>
      <c r="N37" s="159" t="s">
        <v>411</v>
      </c>
    </row>
    <row r="38" spans="4:16" ht="30" customHeight="1">
      <c r="D38" s="124" t="s">
        <v>105</v>
      </c>
      <c r="E38" s="116" t="s">
        <v>486</v>
      </c>
      <c r="F38" s="116" t="s">
        <v>487</v>
      </c>
      <c r="G38" s="117"/>
      <c r="H38" s="116" t="s">
        <v>488</v>
      </c>
      <c r="I38" s="116" t="s">
        <v>99</v>
      </c>
      <c r="J38" s="116" t="s">
        <v>232</v>
      </c>
      <c r="K38" s="116" t="s">
        <v>489</v>
      </c>
      <c r="L38" s="116" t="s">
        <v>490</v>
      </c>
      <c r="M38" s="116" t="s">
        <v>491</v>
      </c>
      <c r="N38" s="116" t="s">
        <v>492</v>
      </c>
    </row>
    <row r="39" spans="4:16" ht="30" customHeight="1">
      <c r="D39" s="164" t="s">
        <v>108</v>
      </c>
      <c r="E39" s="152" t="s">
        <v>205</v>
      </c>
      <c r="F39" s="152" t="s">
        <v>412</v>
      </c>
      <c r="G39" s="153"/>
      <c r="H39" s="152" t="s">
        <v>413</v>
      </c>
      <c r="I39" s="152" t="s">
        <v>414</v>
      </c>
      <c r="J39" s="152" t="s">
        <v>232</v>
      </c>
      <c r="K39" s="152" t="s">
        <v>415</v>
      </c>
      <c r="L39" s="152" t="s">
        <v>416</v>
      </c>
      <c r="M39" s="152" t="s">
        <v>417</v>
      </c>
      <c r="N39" s="152" t="s">
        <v>418</v>
      </c>
    </row>
    <row r="40" spans="4:16" ht="30" customHeight="1">
      <c r="D40" s="161" t="s">
        <v>108</v>
      </c>
      <c r="E40" s="149" t="s">
        <v>206</v>
      </c>
      <c r="F40" s="149" t="s">
        <v>419</v>
      </c>
      <c r="G40" s="150"/>
      <c r="H40" s="149" t="s">
        <v>420</v>
      </c>
      <c r="I40" s="149" t="s">
        <v>421</v>
      </c>
      <c r="J40" s="149" t="s">
        <v>232</v>
      </c>
      <c r="K40" s="149" t="s">
        <v>422</v>
      </c>
      <c r="L40" s="149" t="s">
        <v>423</v>
      </c>
      <c r="M40" s="149" t="s">
        <v>424</v>
      </c>
      <c r="N40" s="149" t="s">
        <v>425</v>
      </c>
    </row>
    <row r="41" spans="4:16" ht="30" customHeight="1">
      <c r="D41" s="162" t="s">
        <v>108</v>
      </c>
      <c r="E41" s="156" t="s">
        <v>207</v>
      </c>
      <c r="F41" s="156" t="s">
        <v>426</v>
      </c>
      <c r="G41" s="157"/>
      <c r="H41" s="156" t="s">
        <v>413</v>
      </c>
      <c r="I41" s="156" t="s">
        <v>427</v>
      </c>
      <c r="J41" s="156" t="s">
        <v>232</v>
      </c>
      <c r="K41" s="157"/>
      <c r="L41" s="156" t="s">
        <v>428</v>
      </c>
      <c r="M41" s="156" t="s">
        <v>429</v>
      </c>
      <c r="N41" s="156" t="s">
        <v>430</v>
      </c>
      <c r="P41" s="195" t="s">
        <v>514</v>
      </c>
    </row>
    <row r="42" spans="4:16" ht="30" customHeight="1">
      <c r="D42" s="162" t="s">
        <v>108</v>
      </c>
      <c r="E42" s="156" t="s">
        <v>208</v>
      </c>
      <c r="F42" s="156" t="s">
        <v>431</v>
      </c>
      <c r="G42" s="157"/>
      <c r="H42" s="156" t="s">
        <v>432</v>
      </c>
      <c r="I42" s="156" t="s">
        <v>433</v>
      </c>
      <c r="J42" s="156" t="s">
        <v>232</v>
      </c>
      <c r="K42" s="156" t="s">
        <v>434</v>
      </c>
      <c r="L42" s="156" t="s">
        <v>435</v>
      </c>
      <c r="M42" s="156" t="s">
        <v>436</v>
      </c>
      <c r="N42" s="156" t="s">
        <v>437</v>
      </c>
    </row>
    <row r="43" spans="4:16" ht="30" customHeight="1">
      <c r="D43" s="168" t="s">
        <v>108</v>
      </c>
      <c r="E43" s="169" t="s">
        <v>209</v>
      </c>
      <c r="F43" s="169" t="s">
        <v>438</v>
      </c>
      <c r="G43" s="170"/>
      <c r="H43" s="169" t="s">
        <v>439</v>
      </c>
      <c r="I43" s="169" t="s">
        <v>440</v>
      </c>
      <c r="J43" s="169" t="s">
        <v>232</v>
      </c>
      <c r="K43" s="169" t="s">
        <v>441</v>
      </c>
      <c r="L43" s="169" t="s">
        <v>442</v>
      </c>
      <c r="M43" s="169" t="s">
        <v>443</v>
      </c>
      <c r="N43" s="169" t="s">
        <v>444</v>
      </c>
    </row>
    <row r="44" spans="4:16" ht="30" customHeight="1">
      <c r="D44" s="162" t="s">
        <v>108</v>
      </c>
      <c r="E44" s="156" t="s">
        <v>210</v>
      </c>
      <c r="F44" s="156" t="s">
        <v>445</v>
      </c>
      <c r="G44" s="157"/>
      <c r="H44" s="156" t="s">
        <v>330</v>
      </c>
      <c r="I44" s="156" t="s">
        <v>446</v>
      </c>
      <c r="J44" s="156" t="s">
        <v>232</v>
      </c>
      <c r="K44" s="156" t="s">
        <v>447</v>
      </c>
      <c r="L44" s="156" t="s">
        <v>448</v>
      </c>
      <c r="M44" s="156" t="s">
        <v>449</v>
      </c>
      <c r="N44" s="156" t="s">
        <v>450</v>
      </c>
      <c r="P44" s="195" t="s">
        <v>512</v>
      </c>
    </row>
    <row r="45" spans="4:16" ht="30" customHeight="1">
      <c r="D45" s="161" t="s">
        <v>108</v>
      </c>
      <c r="E45" s="149" t="s">
        <v>211</v>
      </c>
      <c r="F45" s="149" t="s">
        <v>451</v>
      </c>
      <c r="G45" s="150"/>
      <c r="H45" s="149" t="s">
        <v>452</v>
      </c>
      <c r="I45" s="149" t="s">
        <v>453</v>
      </c>
      <c r="J45" s="149" t="s">
        <v>232</v>
      </c>
      <c r="K45" s="150"/>
      <c r="L45" s="149" t="s">
        <v>454</v>
      </c>
      <c r="M45" s="149" t="s">
        <v>455</v>
      </c>
      <c r="N45" s="149" t="s">
        <v>456</v>
      </c>
    </row>
    <row r="46" spans="4:16" ht="30" customHeight="1">
      <c r="D46" s="161" t="s">
        <v>108</v>
      </c>
      <c r="E46" s="149" t="s">
        <v>212</v>
      </c>
      <c r="F46" s="149" t="s">
        <v>457</v>
      </c>
      <c r="G46" s="150"/>
      <c r="H46" s="149" t="s">
        <v>458</v>
      </c>
      <c r="I46" s="149" t="s">
        <v>459</v>
      </c>
      <c r="J46" s="149" t="s">
        <v>232</v>
      </c>
      <c r="K46" s="149" t="s">
        <v>460</v>
      </c>
      <c r="L46" s="149" t="s">
        <v>461</v>
      </c>
      <c r="M46" s="149" t="s">
        <v>462</v>
      </c>
      <c r="N46" s="149" t="s">
        <v>463</v>
      </c>
      <c r="P46" s="200" t="s">
        <v>516</v>
      </c>
    </row>
    <row r="47" spans="4:16" ht="30" customHeight="1">
      <c r="D47" s="124" t="s">
        <v>108</v>
      </c>
      <c r="E47" s="116" t="s">
        <v>213</v>
      </c>
      <c r="F47" s="116" t="s">
        <v>464</v>
      </c>
      <c r="G47" s="117"/>
      <c r="H47" s="116" t="s">
        <v>291</v>
      </c>
      <c r="I47" s="116" t="s">
        <v>292</v>
      </c>
      <c r="J47" s="116" t="s">
        <v>232</v>
      </c>
      <c r="K47" s="116" t="s">
        <v>465</v>
      </c>
      <c r="L47" s="116" t="s">
        <v>466</v>
      </c>
      <c r="M47" s="116" t="s">
        <v>467</v>
      </c>
      <c r="N47" s="116" t="s">
        <v>468</v>
      </c>
    </row>
    <row r="48" spans="4:16" ht="30" customHeight="1">
      <c r="D48" s="124" t="s">
        <v>108</v>
      </c>
      <c r="E48" s="116" t="s">
        <v>214</v>
      </c>
      <c r="F48" s="116" t="s">
        <v>469</v>
      </c>
      <c r="G48" s="117"/>
      <c r="H48" s="116" t="s">
        <v>470</v>
      </c>
      <c r="I48" s="116" t="s">
        <v>440</v>
      </c>
      <c r="J48" s="116" t="s">
        <v>232</v>
      </c>
      <c r="K48" s="116" t="s">
        <v>471</v>
      </c>
      <c r="L48" s="116" t="s">
        <v>472</v>
      </c>
      <c r="M48" s="116" t="s">
        <v>473</v>
      </c>
      <c r="N48" s="116" t="s">
        <v>474</v>
      </c>
    </row>
    <row r="49" spans="4:14" ht="30" customHeight="1">
      <c r="D49" s="122" t="s">
        <v>108</v>
      </c>
      <c r="E49" s="116" t="s">
        <v>215</v>
      </c>
      <c r="F49" s="116" t="s">
        <v>475</v>
      </c>
      <c r="G49" s="117"/>
      <c r="H49" s="116" t="s">
        <v>476</v>
      </c>
      <c r="I49" s="117"/>
      <c r="J49" s="116" t="s">
        <v>232</v>
      </c>
      <c r="K49" s="117"/>
      <c r="L49" s="116" t="s">
        <v>477</v>
      </c>
      <c r="M49" s="116" t="s">
        <v>478</v>
      </c>
      <c r="N49" s="116" t="s">
        <v>479</v>
      </c>
    </row>
    <row r="50" spans="4:14" ht="30" customHeight="1">
      <c r="D50" s="189" t="s">
        <v>108</v>
      </c>
      <c r="E50" s="190" t="s">
        <v>216</v>
      </c>
      <c r="F50" s="190" t="s">
        <v>480</v>
      </c>
      <c r="G50" s="191"/>
      <c r="H50" s="190" t="s">
        <v>481</v>
      </c>
      <c r="I50" s="190" t="s">
        <v>324</v>
      </c>
      <c r="J50" s="190" t="s">
        <v>232</v>
      </c>
      <c r="K50" s="190" t="s">
        <v>482</v>
      </c>
      <c r="L50" s="190" t="s">
        <v>483</v>
      </c>
      <c r="M50" s="190" t="s">
        <v>484</v>
      </c>
      <c r="N50" s="190" t="s">
        <v>485</v>
      </c>
    </row>
    <row r="51" spans="4:14">
      <c r="D51" s="215" t="s">
        <v>560</v>
      </c>
      <c r="E51" s="216" t="s">
        <v>519</v>
      </c>
      <c r="F51" s="216" t="s">
        <v>561</v>
      </c>
      <c r="G51" s="216"/>
      <c r="H51" s="216"/>
      <c r="I51" s="216" t="s">
        <v>562</v>
      </c>
      <c r="J51" s="190" t="s">
        <v>232</v>
      </c>
      <c r="K51" s="216"/>
      <c r="L51" s="216"/>
      <c r="M51" s="217" t="s">
        <v>563</v>
      </c>
      <c r="N51" s="216"/>
    </row>
    <row r="52" spans="4:14">
      <c r="D52" s="215" t="s">
        <v>564</v>
      </c>
      <c r="E52" s="216" t="s">
        <v>551</v>
      </c>
      <c r="F52" s="216" t="s">
        <v>528</v>
      </c>
      <c r="G52" s="216"/>
      <c r="H52" s="216"/>
      <c r="I52" s="216" t="s">
        <v>551</v>
      </c>
      <c r="J52" s="190" t="s">
        <v>232</v>
      </c>
      <c r="K52" s="216"/>
      <c r="L52" s="216"/>
      <c r="M52" s="217" t="s">
        <v>565</v>
      </c>
      <c r="N52" s="216"/>
    </row>
    <row r="53" spans="4:14">
      <c r="D53" s="215" t="s">
        <v>566</v>
      </c>
      <c r="E53" s="216" t="s">
        <v>553</v>
      </c>
      <c r="F53" s="216" t="s">
        <v>567</v>
      </c>
      <c r="G53" s="216"/>
      <c r="H53" s="216"/>
      <c r="I53" s="216" t="s">
        <v>553</v>
      </c>
      <c r="J53" s="190" t="s">
        <v>232</v>
      </c>
      <c r="K53" s="216"/>
      <c r="L53" s="216"/>
      <c r="M53" s="217" t="s">
        <v>568</v>
      </c>
      <c r="N53" s="216"/>
    </row>
    <row r="54" spans="4:14">
      <c r="E54" s="114"/>
      <c r="F54" s="114"/>
      <c r="G54" s="114"/>
      <c r="H54" s="114"/>
      <c r="I54" s="114"/>
      <c r="J54" s="114"/>
      <c r="K54" s="114"/>
      <c r="L54" s="114"/>
      <c r="M54" s="114"/>
      <c r="N54" s="114"/>
    </row>
    <row r="55" spans="4:14">
      <c r="E55" s="114"/>
      <c r="F55" s="114"/>
      <c r="G55" s="114"/>
      <c r="H55" s="114"/>
      <c r="I55" s="114"/>
      <c r="J55" s="114"/>
      <c r="K55" s="114"/>
      <c r="L55" s="114"/>
      <c r="M55" s="114"/>
      <c r="N55" s="114"/>
    </row>
    <row r="56" spans="4:14">
      <c r="E56" s="114"/>
      <c r="F56" s="114"/>
      <c r="G56" s="114"/>
      <c r="H56" s="114"/>
      <c r="I56" s="114"/>
      <c r="J56" s="114"/>
      <c r="K56" s="114"/>
      <c r="L56" s="114"/>
      <c r="M56" s="114"/>
      <c r="N56" s="114"/>
    </row>
    <row r="57" spans="4:14">
      <c r="E57" s="114"/>
      <c r="F57" s="114"/>
      <c r="G57" s="114"/>
      <c r="H57" s="114"/>
      <c r="I57" s="114"/>
      <c r="J57" s="114"/>
      <c r="K57" s="114"/>
      <c r="L57" s="114"/>
      <c r="M57" s="114"/>
      <c r="N57" s="114"/>
    </row>
    <row r="58" spans="4:14">
      <c r="E58" s="114"/>
      <c r="F58" s="114"/>
      <c r="G58" s="114"/>
      <c r="H58" s="114"/>
      <c r="I58" s="114"/>
      <c r="J58" s="114"/>
      <c r="K58" s="114"/>
      <c r="L58" s="114"/>
      <c r="M58" s="114"/>
      <c r="N58" s="114"/>
    </row>
    <row r="59" spans="4:14">
      <c r="E59" s="114"/>
      <c r="F59" s="114"/>
      <c r="G59" s="114"/>
      <c r="H59" s="114"/>
      <c r="I59" s="114"/>
      <c r="J59" s="114"/>
      <c r="K59" s="114"/>
      <c r="L59" s="114"/>
      <c r="M59" s="114"/>
      <c r="N59" s="114"/>
    </row>
  </sheetData>
  <hyperlinks>
    <hyperlink ref="M24" r:id="rId1" xr:uid="{32827D19-F359-4B6E-BD34-5C3E3A039AB4}"/>
    <hyperlink ref="M4" r:id="rId2" xr:uid="{6A8069B6-1ED5-4C50-8A66-0FEFF318B0DE}"/>
    <hyperlink ref="M8" r:id="rId3" xr:uid="{A69A3639-4B2B-451B-882D-F551B9D9561A}"/>
    <hyperlink ref="M7" r:id="rId4" xr:uid="{003440DB-2110-47D1-87EB-0C39243CEF52}"/>
    <hyperlink ref="M5" r:id="rId5" xr:uid="{463BDF5C-06C6-4A6E-801C-EB42D9FE65B8}"/>
    <hyperlink ref="M6" r:id="rId6" xr:uid="{B9BE327F-0B0E-438C-AB64-1560A36E0C39}"/>
    <hyperlink ref="M51" r:id="rId7" xr:uid="{AED2E48A-CC0A-8A47-B26F-090C6BAD6142}"/>
    <hyperlink ref="M53" r:id="rId8" xr:uid="{CDFDA878-B292-434A-BDBF-DE1707FC804A}"/>
    <hyperlink ref="M52" r:id="rId9" xr:uid="{EE35CCFB-3073-3D41-8498-00F04B926FE6}"/>
  </hyperlinks>
  <pageMargins left="0.7" right="0.7" top="0.75" bottom="0.75" header="0.3" footer="0.3"/>
  <pageSetup paperSize="8" orientation="landscape" horizontalDpi="0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2026-2027 Official Visits</vt:lpstr>
      <vt:lpstr>Contact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Conway-Holland</dc:creator>
  <cp:lastModifiedBy>Mike Fellows</cp:lastModifiedBy>
  <dcterms:created xsi:type="dcterms:W3CDTF">2025-12-04T00:16:06Z</dcterms:created>
  <dcterms:modified xsi:type="dcterms:W3CDTF">2026-10-12T22:08:33Z</dcterms:modified>
</cp:coreProperties>
</file>